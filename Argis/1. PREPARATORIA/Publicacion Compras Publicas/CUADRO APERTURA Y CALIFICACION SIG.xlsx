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chivos\Tareas Administrativas\COMPRA DE LICENCIAS DE ARCGIS PRO Y EQUIPO DE COMPUTACIÓN\Nuevo Proceso\"/>
    </mc:Choice>
  </mc:AlternateContent>
  <xr:revisionPtr revIDLastSave="0" documentId="13_ncr:1_{C84EF629-788C-4CA5-853F-EBAEBA13E665}" xr6:coauthVersionLast="47" xr6:coauthVersionMax="47" xr10:uidLastSave="{00000000-0000-0000-0000-000000000000}"/>
  <bookViews>
    <workbookView xWindow="-120" yWindow="-120" windowWidth="20730" windowHeight="11040" tabRatio="913" activeTab="4" xr2:uid="{00000000-000D-0000-FFFF-FFFF00000000}"/>
  </bookViews>
  <sheets>
    <sheet name="ACT APERTURA Y CONVAL" sheetId="3" r:id="rId1"/>
    <sheet name="EXP.ESPECIFICA" sheetId="6" r:id="rId2"/>
    <sheet name="PERSONAL TECNICO " sheetId="5" r:id="rId3"/>
    <sheet name="INDICES FINANCIEROS" sheetId="8" r:id="rId4"/>
    <sheet name="VERIFICACION DE 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11" i="6"/>
  <c r="C6" i="9"/>
  <c r="C3" i="8" l="1"/>
</calcChain>
</file>

<file path=xl/sharedStrings.xml><?xml version="1.0" encoding="utf-8"?>
<sst xmlns="http://schemas.openxmlformats.org/spreadsheetml/2006/main" count="92" uniqueCount="67">
  <si>
    <t>OFERENTES</t>
  </si>
  <si>
    <t>DOCUMENTACIÓN REQUERIDA</t>
  </si>
  <si>
    <t>INDICE</t>
  </si>
  <si>
    <t>INDICADOR SOLICITADO</t>
  </si>
  <si>
    <t>SOLVENCIA*</t>
  </si>
  <si>
    <t>Activo Corriente /Pasivo Corriente &gt; 1,0</t>
  </si>
  <si>
    <t>ENDEUDAMIENTO</t>
  </si>
  <si>
    <t>Pasivo Total / Patrimonio &lt; 1,50</t>
  </si>
  <si>
    <t xml:space="preserve">OFERENTES </t>
  </si>
  <si>
    <t>TEMPORALIDAD
 ( EXPERIENCIA ADQUIRIDA  EN LOS ULTIMOS 15 AÑOS)</t>
  </si>
  <si>
    <t>NUMERO DE PROYECTOS</t>
  </si>
  <si>
    <t>MONTO MINIMO</t>
  </si>
  <si>
    <t xml:space="preserve">PARÁMETROS
 SOLICITADOS </t>
  </si>
  <si>
    <t>PARAMETROS
 OFERTADOS</t>
  </si>
  <si>
    <t xml:space="preserve">PARAMETRO SOLICITADO </t>
  </si>
  <si>
    <t>PARAMETRO OFERTADO</t>
  </si>
  <si>
    <t>PARÁMETRO SOLICITADO</t>
  </si>
  <si>
    <t>Parámetro</t>
  </si>
  <si>
    <t>Cumple</t>
  </si>
  <si>
    <t>No Cumple</t>
  </si>
  <si>
    <t>Observaciones</t>
  </si>
  <si>
    <t>Verificación de cumplimiento de integridad y requisitos mínimos de la oferta</t>
  </si>
  <si>
    <t>OFERENTE</t>
  </si>
  <si>
    <t>EXPERIENCIA ESPECÍFICA</t>
  </si>
  <si>
    <t>EXPERIENCIA SOLICITADA</t>
  </si>
  <si>
    <t xml:space="preserve"> EXPERIENCIA MINIMA DEL PERSONAL TECNICO </t>
  </si>
  <si>
    <t>CUMPLE/NO CUMPLE</t>
  </si>
  <si>
    <t>X</t>
  </si>
  <si>
    <t>NOMBRE</t>
  </si>
  <si>
    <t>1.1 PRESENTACIÓN Y COMPROMISO</t>
  </si>
  <si>
    <t>1.2 DATOS GENERALES DEL OFERENTE</t>
  </si>
  <si>
    <t>FUNCIÓN:</t>
  </si>
  <si>
    <t xml:space="preserve">1.4 SITUACIÓN FINANCIERA  </t>
  </si>
  <si>
    <t>1.3 Identificación de socios, accionistas, partícipes mayoritarios del oferente en caso de ser persona
jurídica;</t>
  </si>
  <si>
    <t xml:space="preserve">1.7 EXPERIENCIA DEL OFERENTE 
</t>
  </si>
  <si>
    <t>1.8 PERSONAL TÉCNICO</t>
  </si>
  <si>
    <t>1.9 EQUIPO MINIMO</t>
  </si>
  <si>
    <t>OBSERVACIONES</t>
  </si>
  <si>
    <t>NIVEL DE ESTUDIOS SOLICITADO</t>
  </si>
  <si>
    <t>NIVEL DE ESTUDIOS PRESENTADO</t>
  </si>
  <si>
    <t xml:space="preserve">EXPERIENCIA PRESENTADA/TIEMPO </t>
  </si>
  <si>
    <t>1.5 TABLA DE CANTIDADES Y PRECIOS.</t>
  </si>
  <si>
    <t>1.6 COMPONENTES DE LOS BIENES O SERVICIOS OFERTADOS.</t>
  </si>
  <si>
    <t xml:space="preserve">1.10 DECLARACIÓN DE VALOR AGREGADO ECUATORIANO DE LA OFERTA 
</t>
  </si>
  <si>
    <t>PRESENTA</t>
  </si>
  <si>
    <t>1  Presentación y compromiso;</t>
  </si>
  <si>
    <t>2  Datos generales del oferente;</t>
  </si>
  <si>
    <t>3 Nómina de socios o accionistas</t>
  </si>
  <si>
    <t>4 Situación Financiera</t>
  </si>
  <si>
    <t>5  Tabla de cantidades y precios</t>
  </si>
  <si>
    <t xml:space="preserve">6 Componentes de los bienes ofertados  </t>
  </si>
  <si>
    <t>7 Experiencia del Oferente</t>
  </si>
  <si>
    <t xml:space="preserve">8 Personal técnico </t>
  </si>
  <si>
    <t>9 Equipo Mínimo Requerido</t>
  </si>
  <si>
    <t>10 VAE</t>
  </si>
  <si>
    <t>NO APLICA</t>
  </si>
  <si>
    <t>El proveedor deberá acreditar experiencia en suministro y/o renovación de licencias para 
sistemas de información geográfica para instituciones públicas del Ecuador</t>
  </si>
  <si>
    <t>5 ÚLTIMO SAÑOS</t>
  </si>
  <si>
    <t>Esri Ecuador S.A.	RUC: 1792833698001</t>
  </si>
  <si>
    <t>INGENIERO DE SOPORTE ISC</t>
  </si>
  <si>
    <t>Certificados de trabajo que 
indiquen el tiempo que ha 
desempeñado esa función.
- Actas de recepción definitiva 
en caso de que no fuese 
relación de dependencia. Debe 
constar: código del proceso, 
nombre de la entidad 
contratante, fecha de 
suscripción del acta, monto de 
contratación, plazo de 
ejecución.
- Copias de certificados de 
experiencia en caso de haber 
sido empleado particular, que 
indiquen el tiempo que ha 
desempeñado esa función.
- Certificación técnica emitida 
por Esri.</t>
  </si>
  <si>
    <t>Secretaría  de Hábitat y  Ordenamien
to Territorial  del  Municipio  del Distrito  Metropolitano de Quito.
SERVICIO DE  ARRENDAMIENTO DEL  SISTEMA DE  GEOINFORMACIÓN DE  LAS HERRAMIENTAS  ESRI DE LA 
SECRETARÍA DE  HÁBITAT Y 
ORDENAMIENTO  TERRITORIAL DEL  MUNICIPIO DEL  DISTRITO 
METROPOLITANO DE  QUITO - 
RE-PU-MDMQ-2024- 3601
USD  79.996,07 19 Días 13/07/2024 31/07/2024</t>
  </si>
  <si>
    <t xml:space="preserve">
NIVEL ACADÉMICO: Tercer Nivel.
Profesional de Geografía, 
Ciencias Ambientales_x0002_Ingeniería Ambiental, Sanitaria, Forestal, 
Electrónica, Geociencia, 
Geo informática, Informática, Sistemas, Catastral, Geodesia, 
Ingeniería Civil, Sistemas de Gestión de la Información, Pilotaje, 
Tecnología de la Información o afines, 
Entrenamiento en las diferentes tecnologías ArcGIS para soportar de 
la mejor manera el uso de nuestra tecnología.</t>
  </si>
  <si>
    <t>05 de Agosto del 2024</t>
  </si>
  <si>
    <t>Lorena Patricia Lopez Montenegro</t>
  </si>
  <si>
    <t>Ingeniera en Sistemas Informáticos y de Computación</t>
  </si>
  <si>
    <t xml:space="preserve">Certifcado emitido por Representante Legal de Esri Ecuador desempeñando las siguientes funciones: 
• Soporte en Sistemas de Información Geográfica (SIG).
• Asistencia técnica a clientes en instalación y configuración de
plataformas ArcGIS.
• Manejo de CRM Salesforce y generación de informes sobre incidentes.
• Investigar procesos para resolución de incidentes.
• Desarrollo de demostraciones para empresas públicas y privadas
sobre alcance de la plataforma ArcGIS.
• Capacitadora en talleres y cursos sobre SIG y plataforma ArcGIS de
ESRI para empresas públicas y privadas.
• Desarrollo de seminarios web y exposiciones para comunidad SIG.
desde el 1 de Febrero del 2018 hasta la actualidad.
Certifcado emitido por  Esri : GIS Fundamentals Foundation 2201 del 30 de Agosto del 2023.
Certifcado emitido por Esri: Going Places with Spatial Analysis del 30 de Mayo del 2022. 
Certifcado emitido por Esri : Putting ArcGIS to Use Across Your Organization del 28 de Diciembre del 2023.
Certifcado emitido por Esri: Serie de Webinars de ArcGIS Survey123 del 111 de marzo del 2021.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</si>
</sst>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&quot;$&quot;* #,##0.00_ ;_ &quot;$&quot;* \-#,##0.00_ ;_ &quot;$&quot;* &quot;-&quot;??_ ;_ @_ "/>
    <numFmt numFmtId="165" formatCode="_ * #,##0.00_ ;_ * \-#,##0.00_ ;_ * &quot;-&quot;??_ ;_ @_ "/>
    <numFmt numFmtId="166" formatCode="_(* #,##0.00_);_(* \(#,##0.00\);_(* &quot;-&quot;??_);_(@_)"/>
    <numFmt numFmtId="167" formatCode="_(&quot;$&quot;\ * #,##0.00_);_(&quot;$&quot;\ * \(#,##0.00\);_(&quot;$&quot;\ * &quot;-&quot;??_);_(@_)"/>
    <numFmt numFmtId="168" formatCode="_-* #,##0.00\ _€_-;\-* #,##0.00\ _€_-;_-* &quot;-&quot;??\ _€_-;_-@_-"/>
    <numFmt numFmtId="169" formatCode="\$#.00"/>
    <numFmt numFmtId="170" formatCode="m\o\n\th\ d\,\ yyyy"/>
    <numFmt numFmtId="171" formatCode="_([$€-2]* #,##0.00_);_([$€-2]* \(#,##0.00\);_([$€-2]* &quot;-&quot;??_)"/>
    <numFmt numFmtId="172" formatCode="#.00"/>
    <numFmt numFmtId="173" formatCode="#."/>
    <numFmt numFmtId="174" formatCode="General_)"/>
    <numFmt numFmtId="175" formatCode="%#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12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"/>
      <color indexed="8"/>
      <name val="Courier"/>
      <family val="3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charset val="204"/>
    </font>
    <font>
      <b/>
      <sz val="1"/>
      <color indexed="8"/>
      <name val="Courier"/>
      <family val="3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2"/>
      <name val="Helv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0"/>
      <color theme="0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name val="Times New Roman"/>
      <family val="1"/>
    </font>
    <font>
      <b/>
      <sz val="8"/>
      <color theme="0"/>
      <name val="Times New Roman"/>
      <family val="1"/>
    </font>
    <font>
      <b/>
      <sz val="8"/>
      <color theme="1"/>
      <name val="Calibri"/>
      <family val="2"/>
      <scheme val="minor"/>
    </font>
    <font>
      <b/>
      <sz val="7"/>
      <color theme="0"/>
      <name val="Times New Roman"/>
      <family val="1"/>
    </font>
    <font>
      <b/>
      <sz val="7"/>
      <name val="Times New Roman"/>
      <family val="1"/>
    </font>
    <font>
      <sz val="7"/>
      <color theme="1"/>
      <name val="Times New Roman"/>
      <family val="1"/>
    </font>
    <font>
      <sz val="11"/>
      <color rgb="FF000000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CCC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9" applyNumberFormat="0" applyAlignment="0" applyProtection="0"/>
    <xf numFmtId="0" fontId="10" fillId="17" borderId="10" applyNumberFormat="0" applyAlignment="0" applyProtection="0"/>
    <xf numFmtId="0" fontId="11" fillId="0" borderId="11" applyNumberFormat="0" applyFill="0" applyAlignment="0" applyProtection="0"/>
    <xf numFmtId="4" fontId="12" fillId="0" borderId="0">
      <protection locked="0"/>
    </xf>
    <xf numFmtId="169" fontId="12" fillId="0" borderId="0">
      <protection locked="0"/>
    </xf>
    <xf numFmtId="170" fontId="12" fillId="0" borderId="0">
      <protection locked="0"/>
    </xf>
    <xf numFmtId="0" fontId="1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4" fillId="7" borderId="9" applyNumberFormat="0" applyAlignment="0" applyProtection="0"/>
    <xf numFmtId="0" fontId="15" fillId="0" borderId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6" fillId="0" borderId="0"/>
    <xf numFmtId="172" fontId="12" fillId="0" borderId="0">
      <protection locked="0"/>
    </xf>
    <xf numFmtId="173" fontId="16" fillId="0" borderId="0">
      <protection locked="0"/>
    </xf>
    <xf numFmtId="173" fontId="16" fillId="0" borderId="0">
      <protection locked="0"/>
    </xf>
    <xf numFmtId="0" fontId="17" fillId="3" borderId="0" applyNumberFormat="0" applyBorder="0" applyAlignment="0" applyProtection="0"/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8" fillId="22" borderId="0" applyNumberFormat="0" applyBorder="0" applyAlignment="0" applyProtection="0"/>
    <xf numFmtId="0" fontId="1" fillId="0" borderId="0"/>
    <xf numFmtId="0" fontId="4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4" fillId="0" borderId="0"/>
    <xf numFmtId="0" fontId="4" fillId="23" borderId="12" applyNumberFormat="0" applyFont="0" applyAlignment="0" applyProtection="0"/>
    <xf numFmtId="0" fontId="4" fillId="23" borderId="12" applyNumberFormat="0" applyFont="0" applyAlignment="0" applyProtection="0"/>
    <xf numFmtId="0" fontId="4" fillId="23" borderId="12" applyNumberFormat="0" applyFont="0" applyAlignment="0" applyProtection="0"/>
    <xf numFmtId="175" fontId="12" fillId="0" borderId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0" fillId="16" borderId="13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4" fillId="0" borderId="15" applyNumberFormat="0" applyFill="0" applyAlignment="0" applyProtection="0"/>
    <xf numFmtId="0" fontId="13" fillId="0" borderId="16" applyNumberFormat="0" applyFill="0" applyAlignment="0" applyProtection="0"/>
    <xf numFmtId="0" fontId="25" fillId="0" borderId="0" applyNumberFormat="0" applyFill="0" applyBorder="0" applyAlignment="0" applyProtection="0"/>
    <xf numFmtId="173" fontId="12" fillId="0" borderId="8">
      <protection locked="0"/>
    </xf>
    <xf numFmtId="0" fontId="4" fillId="0" borderId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0" xfId="0" applyFont="1"/>
    <xf numFmtId="0" fontId="31" fillId="0" borderId="1" xfId="0" applyFont="1" applyBorder="1" applyAlignment="1">
      <alignment vertical="top" wrapText="1"/>
    </xf>
    <xf numFmtId="0" fontId="31" fillId="0" borderId="1" xfId="0" applyFont="1" applyBorder="1" applyAlignment="1">
      <alignment vertical="top"/>
    </xf>
    <xf numFmtId="0" fontId="31" fillId="0" borderId="1" xfId="0" applyFont="1" applyBorder="1" applyAlignment="1">
      <alignment horizontal="left" vertical="center" wrapText="1"/>
    </xf>
    <xf numFmtId="0" fontId="28" fillId="24" borderId="1" xfId="0" applyFont="1" applyFill="1" applyBorder="1" applyAlignment="1">
      <alignment horizontal="center" vertical="center" wrapText="1"/>
    </xf>
    <xf numFmtId="0" fontId="32" fillId="27" borderId="1" xfId="0" applyFont="1" applyFill="1" applyBorder="1" applyAlignment="1">
      <alignment horizontal="center" vertical="center" wrapText="1"/>
    </xf>
    <xf numFmtId="0" fontId="33" fillId="26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49" fontId="26" fillId="26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31" fillId="0" borderId="1" xfId="113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6" fillId="27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vertical="center"/>
    </xf>
    <xf numFmtId="0" fontId="37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/>
    </xf>
    <xf numFmtId="0" fontId="2" fillId="2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113" applyFont="1" applyFill="1" applyBorder="1" applyAlignment="1">
      <alignment vertical="center" wrapText="1"/>
    </xf>
    <xf numFmtId="164" fontId="30" fillId="0" borderId="0" xfId="113" applyFont="1"/>
    <xf numFmtId="164" fontId="31" fillId="28" borderId="1" xfId="113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5" fillId="26" borderId="4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29" fillId="0" borderId="7" xfId="0" applyFont="1" applyBorder="1" applyAlignment="1">
      <alignment vertical="center" wrapText="1"/>
    </xf>
    <xf numFmtId="0" fontId="26" fillId="26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7" fillId="27" borderId="1" xfId="0" applyFont="1" applyFill="1" applyBorder="1" applyAlignment="1">
      <alignment horizontal="center" vertical="center"/>
    </xf>
    <xf numFmtId="0" fontId="33" fillId="26" borderId="7" xfId="0" applyFont="1" applyFill="1" applyBorder="1" applyAlignment="1">
      <alignment horizontal="center" vertical="center" wrapText="1"/>
    </xf>
    <xf numFmtId="0" fontId="33" fillId="26" borderId="18" xfId="0" applyFont="1" applyFill="1" applyBorder="1" applyAlignment="1">
      <alignment horizontal="center" vertical="center" wrapText="1"/>
    </xf>
    <xf numFmtId="0" fontId="33" fillId="26" borderId="2" xfId="0" applyFont="1" applyFill="1" applyBorder="1" applyAlignment="1">
      <alignment horizontal="center" vertical="center" wrapText="1"/>
    </xf>
    <xf numFmtId="0" fontId="33" fillId="26" borderId="3" xfId="0" applyFont="1" applyFill="1" applyBorder="1" applyAlignment="1">
      <alignment horizontal="center" vertical="center" wrapText="1"/>
    </xf>
    <xf numFmtId="0" fontId="33" fillId="26" borderId="2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49" fontId="26" fillId="26" borderId="17" xfId="0" applyNumberFormat="1" applyFont="1" applyFill="1" applyBorder="1" applyAlignment="1">
      <alignment horizontal="center" vertical="center"/>
    </xf>
    <xf numFmtId="49" fontId="26" fillId="26" borderId="5" xfId="0" applyNumberFormat="1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 wrapText="1"/>
    </xf>
    <xf numFmtId="0" fontId="3" fillId="29" borderId="6" xfId="0" applyFont="1" applyFill="1" applyBorder="1" applyAlignment="1">
      <alignment horizontal="center" vertical="center" wrapText="1"/>
    </xf>
    <xf numFmtId="0" fontId="3" fillId="29" borderId="3" xfId="0" applyFont="1" applyFill="1" applyBorder="1" applyAlignment="1">
      <alignment horizontal="center" vertical="center" wrapText="1"/>
    </xf>
    <xf numFmtId="0" fontId="35" fillId="26" borderId="1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7" fillId="25" borderId="2" xfId="0" applyFont="1" applyFill="1" applyBorder="1" applyAlignment="1">
      <alignment horizontal="center" vertical="center" wrapText="1"/>
    </xf>
    <xf numFmtId="0" fontId="27" fillId="25" borderId="6" xfId="0" applyFont="1" applyFill="1" applyBorder="1" applyAlignment="1">
      <alignment horizontal="center" vertical="center" wrapText="1"/>
    </xf>
    <xf numFmtId="0" fontId="27" fillId="25" borderId="3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</cellXfs>
  <cellStyles count="114">
    <cellStyle name="0,0_x000a__x000a_NA_x000a__x000a_" xfId="3" xr:uid="{00000000-0005-0000-0000-000000000000}"/>
    <cellStyle name="20% - Énfasis1 2" xfId="4" xr:uid="{00000000-0005-0000-0000-000001000000}"/>
    <cellStyle name="20% - Énfasis1 3" xfId="5" xr:uid="{00000000-0005-0000-0000-000002000000}"/>
    <cellStyle name="20% - Énfasis2 2" xfId="6" xr:uid="{00000000-0005-0000-0000-000003000000}"/>
    <cellStyle name="20% - Énfasis2 3" xfId="7" xr:uid="{00000000-0005-0000-0000-000004000000}"/>
    <cellStyle name="20% - Énfasis3 2" xfId="8" xr:uid="{00000000-0005-0000-0000-000005000000}"/>
    <cellStyle name="20% - Énfasis3 3" xfId="9" xr:uid="{00000000-0005-0000-0000-000006000000}"/>
    <cellStyle name="20% - Énfasis4 2" xfId="10" xr:uid="{00000000-0005-0000-0000-000007000000}"/>
    <cellStyle name="20% - Énfasis4 3" xfId="11" xr:uid="{00000000-0005-0000-0000-000008000000}"/>
    <cellStyle name="20% - Énfasis5 2" xfId="12" xr:uid="{00000000-0005-0000-0000-000009000000}"/>
    <cellStyle name="20% - Énfasis5 3" xfId="13" xr:uid="{00000000-0005-0000-0000-00000A000000}"/>
    <cellStyle name="20% - Énfasis6 2" xfId="14" xr:uid="{00000000-0005-0000-0000-00000B000000}"/>
    <cellStyle name="20% - Énfasis6 3" xfId="15" xr:uid="{00000000-0005-0000-0000-00000C000000}"/>
    <cellStyle name="40% - Énfasis1 2" xfId="16" xr:uid="{00000000-0005-0000-0000-00000D000000}"/>
    <cellStyle name="40% - Énfasis1 3" xfId="17" xr:uid="{00000000-0005-0000-0000-00000E000000}"/>
    <cellStyle name="40% - Énfasis2 2" xfId="18" xr:uid="{00000000-0005-0000-0000-00000F000000}"/>
    <cellStyle name="40% - Énfasis2 3" xfId="19" xr:uid="{00000000-0005-0000-0000-000010000000}"/>
    <cellStyle name="40% - Énfasis3 2" xfId="20" xr:uid="{00000000-0005-0000-0000-000011000000}"/>
    <cellStyle name="40% - Énfasis3 3" xfId="21" xr:uid="{00000000-0005-0000-0000-000012000000}"/>
    <cellStyle name="40% - Énfasis4 2" xfId="22" xr:uid="{00000000-0005-0000-0000-000013000000}"/>
    <cellStyle name="40% - Énfasis4 3" xfId="23" xr:uid="{00000000-0005-0000-0000-000014000000}"/>
    <cellStyle name="40% - Énfasis5 2" xfId="24" xr:uid="{00000000-0005-0000-0000-000015000000}"/>
    <cellStyle name="40% - Énfasis5 3" xfId="25" xr:uid="{00000000-0005-0000-0000-000016000000}"/>
    <cellStyle name="40% - Énfasis6 2" xfId="26" xr:uid="{00000000-0005-0000-0000-000017000000}"/>
    <cellStyle name="40% - Énfasis6 3" xfId="27" xr:uid="{00000000-0005-0000-0000-000018000000}"/>
    <cellStyle name="60% - Énfasis1 2" xfId="28" xr:uid="{00000000-0005-0000-0000-000019000000}"/>
    <cellStyle name="60% - Énfasis2 2" xfId="29" xr:uid="{00000000-0005-0000-0000-00001A000000}"/>
    <cellStyle name="60% - Énfasis3 2" xfId="30" xr:uid="{00000000-0005-0000-0000-00001B000000}"/>
    <cellStyle name="60% - Énfasis4 2" xfId="31" xr:uid="{00000000-0005-0000-0000-00001C000000}"/>
    <cellStyle name="60% - Énfasis5 2" xfId="32" xr:uid="{00000000-0005-0000-0000-00001D000000}"/>
    <cellStyle name="60% - Énfasis6 2" xfId="33" xr:uid="{00000000-0005-0000-0000-00001E000000}"/>
    <cellStyle name="Buena 2" xfId="34" xr:uid="{00000000-0005-0000-0000-00001F000000}"/>
    <cellStyle name="Cálculo 2" xfId="35" xr:uid="{00000000-0005-0000-0000-000020000000}"/>
    <cellStyle name="Celda de comprobación 2" xfId="36" xr:uid="{00000000-0005-0000-0000-000021000000}"/>
    <cellStyle name="Celda vinculada 2" xfId="37" xr:uid="{00000000-0005-0000-0000-000022000000}"/>
    <cellStyle name="Comma" xfId="38" xr:uid="{00000000-0005-0000-0000-000023000000}"/>
    <cellStyle name="Currency" xfId="39" xr:uid="{00000000-0005-0000-0000-000024000000}"/>
    <cellStyle name="Date" xfId="40" xr:uid="{00000000-0005-0000-0000-000025000000}"/>
    <cellStyle name="Encabezado 4 2" xfId="41" xr:uid="{00000000-0005-0000-0000-000026000000}"/>
    <cellStyle name="Énfasis1 2" xfId="42" xr:uid="{00000000-0005-0000-0000-000027000000}"/>
    <cellStyle name="Énfasis2 2" xfId="43" xr:uid="{00000000-0005-0000-0000-000028000000}"/>
    <cellStyle name="Énfasis3 2" xfId="44" xr:uid="{00000000-0005-0000-0000-000029000000}"/>
    <cellStyle name="Énfasis4 2" xfId="45" xr:uid="{00000000-0005-0000-0000-00002A000000}"/>
    <cellStyle name="Énfasis5 2" xfId="46" xr:uid="{00000000-0005-0000-0000-00002B000000}"/>
    <cellStyle name="Énfasis6 2" xfId="47" xr:uid="{00000000-0005-0000-0000-00002C000000}"/>
    <cellStyle name="Entrada 2" xfId="48" xr:uid="{00000000-0005-0000-0000-00002D000000}"/>
    <cellStyle name="Estilo 1" xfId="49" xr:uid="{00000000-0005-0000-0000-00002E000000}"/>
    <cellStyle name="Euro" xfId="50" xr:uid="{00000000-0005-0000-0000-00002F000000}"/>
    <cellStyle name="Euro 2" xfId="51" xr:uid="{00000000-0005-0000-0000-000030000000}"/>
    <cellStyle name="Euro 3" xfId="52" xr:uid="{00000000-0005-0000-0000-000031000000}"/>
    <cellStyle name="Excel Built-in Normal" xfId="53" xr:uid="{00000000-0005-0000-0000-000032000000}"/>
    <cellStyle name="Fixed" xfId="54" xr:uid="{00000000-0005-0000-0000-000033000000}"/>
    <cellStyle name="Heading1" xfId="55" xr:uid="{00000000-0005-0000-0000-000034000000}"/>
    <cellStyle name="Heading2" xfId="56" xr:uid="{00000000-0005-0000-0000-000035000000}"/>
    <cellStyle name="Incorrecto 2" xfId="57" xr:uid="{00000000-0005-0000-0000-000036000000}"/>
    <cellStyle name="Millares 2" xfId="58" xr:uid="{00000000-0005-0000-0000-000037000000}"/>
    <cellStyle name="Millares 2 10" xfId="59" xr:uid="{00000000-0005-0000-0000-000038000000}"/>
    <cellStyle name="Millares 2 11" xfId="60" xr:uid="{00000000-0005-0000-0000-000039000000}"/>
    <cellStyle name="Millares 2 12" xfId="61" xr:uid="{00000000-0005-0000-0000-00003A000000}"/>
    <cellStyle name="Millares 2 13" xfId="62" xr:uid="{00000000-0005-0000-0000-00003B000000}"/>
    <cellStyle name="Millares 2 14" xfId="63" xr:uid="{00000000-0005-0000-0000-00003C000000}"/>
    <cellStyle name="Millares 2 15" xfId="64" xr:uid="{00000000-0005-0000-0000-00003D000000}"/>
    <cellStyle name="Millares 2 16" xfId="65" xr:uid="{00000000-0005-0000-0000-00003E000000}"/>
    <cellStyle name="Millares 2 17" xfId="66" xr:uid="{00000000-0005-0000-0000-00003F000000}"/>
    <cellStyle name="Millares 2 18" xfId="67" xr:uid="{00000000-0005-0000-0000-000040000000}"/>
    <cellStyle name="Millares 2 2" xfId="68" xr:uid="{00000000-0005-0000-0000-000041000000}"/>
    <cellStyle name="Millares 2 2 2" xfId="69" xr:uid="{00000000-0005-0000-0000-000042000000}"/>
    <cellStyle name="Millares 2 3" xfId="70" xr:uid="{00000000-0005-0000-0000-000043000000}"/>
    <cellStyle name="Millares 2 4" xfId="71" xr:uid="{00000000-0005-0000-0000-000044000000}"/>
    <cellStyle name="Millares 2 5" xfId="72" xr:uid="{00000000-0005-0000-0000-000045000000}"/>
    <cellStyle name="Millares 2 6" xfId="73" xr:uid="{00000000-0005-0000-0000-000046000000}"/>
    <cellStyle name="Millares 2 7" xfId="74" xr:uid="{00000000-0005-0000-0000-000047000000}"/>
    <cellStyle name="Millares 2 8" xfId="75" xr:uid="{00000000-0005-0000-0000-000048000000}"/>
    <cellStyle name="Millares 2 9" xfId="76" xr:uid="{00000000-0005-0000-0000-000049000000}"/>
    <cellStyle name="Millares 3" xfId="77" xr:uid="{00000000-0005-0000-0000-00004A000000}"/>
    <cellStyle name="Millares 3 2" xfId="107" xr:uid="{00000000-0005-0000-0000-00004B000000}"/>
    <cellStyle name="Millares 4" xfId="78" xr:uid="{00000000-0005-0000-0000-00004C000000}"/>
    <cellStyle name="Millares 5" xfId="106" xr:uid="{00000000-0005-0000-0000-00004D000000}"/>
    <cellStyle name="Millares 5 2" xfId="111" xr:uid="{00000000-0005-0000-0000-00004E000000}"/>
    <cellStyle name="Millares 6" xfId="1" xr:uid="{00000000-0005-0000-0000-00004F000000}"/>
    <cellStyle name="Moneda" xfId="113" builtinId="4"/>
    <cellStyle name="Moneda 2" xfId="2" xr:uid="{00000000-0005-0000-0000-000051000000}"/>
    <cellStyle name="Moneda 3" xfId="112" xr:uid="{00000000-0005-0000-0000-000052000000}"/>
    <cellStyle name="Neutral 2" xfId="79" xr:uid="{00000000-0005-0000-0000-000053000000}"/>
    <cellStyle name="Normal" xfId="0" builtinId="0"/>
    <cellStyle name="Normal 2" xfId="80" xr:uid="{00000000-0005-0000-0000-000055000000}"/>
    <cellStyle name="Normal 2 2" xfId="81" xr:uid="{00000000-0005-0000-0000-000056000000}"/>
    <cellStyle name="Normal 3" xfId="82" xr:uid="{00000000-0005-0000-0000-000057000000}"/>
    <cellStyle name="Normal 4" xfId="83" xr:uid="{00000000-0005-0000-0000-000058000000}"/>
    <cellStyle name="Normal 5" xfId="84" xr:uid="{00000000-0005-0000-0000-000059000000}"/>
    <cellStyle name="Normal 6" xfId="85" xr:uid="{00000000-0005-0000-0000-00005A000000}"/>
    <cellStyle name="Normal 7" xfId="86" xr:uid="{00000000-0005-0000-0000-00005B000000}"/>
    <cellStyle name="Normal 8" xfId="87" xr:uid="{00000000-0005-0000-0000-00005C000000}"/>
    <cellStyle name="Normal 8 2" xfId="108" xr:uid="{00000000-0005-0000-0000-00005D000000}"/>
    <cellStyle name="Normal 9" xfId="105" xr:uid="{00000000-0005-0000-0000-00005E000000}"/>
    <cellStyle name="Normal 9 2" xfId="110" xr:uid="{00000000-0005-0000-0000-00005F000000}"/>
    <cellStyle name="Notas 2" xfId="88" xr:uid="{00000000-0005-0000-0000-000060000000}"/>
    <cellStyle name="Notas 3" xfId="89" xr:uid="{00000000-0005-0000-0000-000061000000}"/>
    <cellStyle name="Notas 4" xfId="90" xr:uid="{00000000-0005-0000-0000-000062000000}"/>
    <cellStyle name="Percent" xfId="91" xr:uid="{00000000-0005-0000-0000-000063000000}"/>
    <cellStyle name="Porcentaje 2" xfId="92" xr:uid="{00000000-0005-0000-0000-000065000000}"/>
    <cellStyle name="Porcentaje 2 2" xfId="109" xr:uid="{00000000-0005-0000-0000-000066000000}"/>
    <cellStyle name="Porcentaje 3" xfId="93" xr:uid="{00000000-0005-0000-0000-000067000000}"/>
    <cellStyle name="Porcentual 2" xfId="94" xr:uid="{00000000-0005-0000-0000-000068000000}"/>
    <cellStyle name="Porcentual 2 2" xfId="95" xr:uid="{00000000-0005-0000-0000-000069000000}"/>
    <cellStyle name="Porcentual 3" xfId="96" xr:uid="{00000000-0005-0000-0000-00006A000000}"/>
    <cellStyle name="Salida 2" xfId="97" xr:uid="{00000000-0005-0000-0000-00006B000000}"/>
    <cellStyle name="Texto de advertencia 2" xfId="98" xr:uid="{00000000-0005-0000-0000-00006C000000}"/>
    <cellStyle name="Texto explicativo 2" xfId="99" xr:uid="{00000000-0005-0000-0000-00006D000000}"/>
    <cellStyle name="Título 1 2" xfId="100" xr:uid="{00000000-0005-0000-0000-00006E000000}"/>
    <cellStyle name="Título 2 2" xfId="101" xr:uid="{00000000-0005-0000-0000-00006F000000}"/>
    <cellStyle name="Título 3 2" xfId="102" xr:uid="{00000000-0005-0000-0000-000070000000}"/>
    <cellStyle name="Título 4" xfId="103" xr:uid="{00000000-0005-0000-0000-000071000000}"/>
    <cellStyle name="Total 2" xfId="104" xr:uid="{00000000-0005-0000-0000-00007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B17"/>
  <sheetViews>
    <sheetView topLeftCell="A2" workbookViewId="0">
      <pane ySplit="5" topLeftCell="A7" activePane="bottomLeft" state="frozen"/>
      <selection activeCell="A2" sqref="A2"/>
      <selection pane="bottomLeft" activeCell="B20" sqref="B20"/>
    </sheetView>
  </sheetViews>
  <sheetFormatPr baseColWidth="10" defaultRowHeight="15"/>
  <cols>
    <col min="1" max="1" width="36.140625" customWidth="1"/>
    <col min="2" max="2" width="26.42578125" customWidth="1"/>
  </cols>
  <sheetData>
    <row r="4" spans="1:2" ht="15" customHeight="1">
      <c r="A4" s="38" t="s">
        <v>1</v>
      </c>
      <c r="B4" s="38" t="s">
        <v>0</v>
      </c>
    </row>
    <row r="5" spans="1:2" ht="10.5" customHeight="1">
      <c r="A5" s="38"/>
      <c r="B5" s="38"/>
    </row>
    <row r="6" spans="1:2" ht="60.75" customHeight="1">
      <c r="A6" s="38"/>
      <c r="B6" s="10" t="s">
        <v>58</v>
      </c>
    </row>
    <row r="7" spans="1:2" ht="23.25" customHeight="1">
      <c r="A7" s="6" t="s">
        <v>29</v>
      </c>
      <c r="B7" s="12" t="s">
        <v>44</v>
      </c>
    </row>
    <row r="8" spans="1:2">
      <c r="A8" s="7" t="s">
        <v>30</v>
      </c>
      <c r="B8" s="12" t="s">
        <v>44</v>
      </c>
    </row>
    <row r="9" spans="1:2" ht="33.75">
      <c r="A9" s="6" t="s">
        <v>33</v>
      </c>
      <c r="B9" s="12" t="s">
        <v>44</v>
      </c>
    </row>
    <row r="10" spans="1:2">
      <c r="A10" s="8" t="s">
        <v>32</v>
      </c>
      <c r="B10" s="12" t="s">
        <v>44</v>
      </c>
    </row>
    <row r="11" spans="1:2">
      <c r="A11" s="6" t="s">
        <v>41</v>
      </c>
      <c r="B11" s="12" t="s">
        <v>44</v>
      </c>
    </row>
    <row r="12" spans="1:2" ht="28.5" customHeight="1">
      <c r="A12" s="6" t="s">
        <v>42</v>
      </c>
      <c r="B12" s="12" t="s">
        <v>44</v>
      </c>
    </row>
    <row r="13" spans="1:2" ht="19.5" customHeight="1">
      <c r="A13" s="8" t="s">
        <v>34</v>
      </c>
      <c r="B13" s="12" t="s">
        <v>44</v>
      </c>
    </row>
    <row r="14" spans="1:2">
      <c r="A14" s="6" t="s">
        <v>35</v>
      </c>
      <c r="B14" s="12" t="s">
        <v>44</v>
      </c>
    </row>
    <row r="15" spans="1:2">
      <c r="A15" s="6" t="s">
        <v>36</v>
      </c>
      <c r="B15" s="12" t="s">
        <v>44</v>
      </c>
    </row>
    <row r="16" spans="1:2" ht="33.75">
      <c r="A16" s="6" t="s">
        <v>43</v>
      </c>
      <c r="B16" s="12" t="s">
        <v>44</v>
      </c>
    </row>
    <row r="17" spans="1:2">
      <c r="A17" s="6" t="s">
        <v>37</v>
      </c>
      <c r="B17" s="12"/>
    </row>
  </sheetData>
  <mergeCells count="2">
    <mergeCell ref="A4:A6"/>
    <mergeCell ref="B4:B5"/>
  </mergeCells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topLeftCell="A6" zoomScale="87" zoomScaleNormal="87" workbookViewId="0">
      <selection activeCell="J12" sqref="J12"/>
    </sheetView>
  </sheetViews>
  <sheetFormatPr baseColWidth="10" defaultRowHeight="11.25"/>
  <cols>
    <col min="1" max="1" width="17.7109375" style="5" customWidth="1"/>
    <col min="2" max="2" width="21.28515625" style="5" customWidth="1"/>
    <col min="3" max="3" width="26" style="5" customWidth="1"/>
    <col min="4" max="4" width="18.28515625" style="5" customWidth="1"/>
    <col min="5" max="5" width="17" style="5" customWidth="1"/>
    <col min="6" max="6" width="15.85546875" style="5" customWidth="1"/>
    <col min="7" max="7" width="14.85546875" style="5" customWidth="1"/>
    <col min="8" max="8" width="16.42578125" style="5" customWidth="1"/>
    <col min="9" max="9" width="15.5703125" style="5" customWidth="1"/>
    <col min="10" max="10" width="13.42578125" style="5" customWidth="1"/>
    <col min="11" max="16384" width="11.42578125" style="5"/>
  </cols>
  <sheetData>
    <row r="1" spans="1:10">
      <c r="B1" s="28"/>
    </row>
    <row r="9" spans="1:10">
      <c r="A9" s="39" t="s">
        <v>8</v>
      </c>
      <c r="B9" s="41" t="s">
        <v>23</v>
      </c>
      <c r="C9" s="42"/>
      <c r="D9" s="41" t="s">
        <v>9</v>
      </c>
      <c r="E9" s="42"/>
      <c r="F9" s="43" t="s">
        <v>10</v>
      </c>
      <c r="G9" s="44"/>
      <c r="H9" s="43" t="s">
        <v>11</v>
      </c>
      <c r="I9" s="44"/>
      <c r="J9" s="39" t="s">
        <v>26</v>
      </c>
    </row>
    <row r="10" spans="1:10" ht="21">
      <c r="A10" s="40"/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15</v>
      </c>
      <c r="H10" s="11" t="s">
        <v>16</v>
      </c>
      <c r="I10" s="11" t="s">
        <v>15</v>
      </c>
      <c r="J10" s="40"/>
    </row>
    <row r="11" spans="1:10" ht="196.5" customHeight="1">
      <c r="A11" s="36" t="str">
        <f>'ACT APERTURA Y CONVAL'!B6</f>
        <v>Esri Ecuador S.A.	RUC: 1792833698001</v>
      </c>
      <c r="B11" s="16" t="s">
        <v>56</v>
      </c>
      <c r="C11" s="12" t="s">
        <v>61</v>
      </c>
      <c r="D11" s="17" t="s">
        <v>57</v>
      </c>
      <c r="E11" s="12" t="s">
        <v>63</v>
      </c>
      <c r="F11" s="17">
        <v>1</v>
      </c>
      <c r="G11" s="13">
        <v>1</v>
      </c>
      <c r="H11" s="29">
        <v>1452</v>
      </c>
      <c r="I11" s="19">
        <v>79996.19</v>
      </c>
      <c r="J11" s="14" t="s">
        <v>18</v>
      </c>
    </row>
  </sheetData>
  <mergeCells count="6">
    <mergeCell ref="J9:J10"/>
    <mergeCell ref="A9:A10"/>
    <mergeCell ref="B9:C9"/>
    <mergeCell ref="D9:E9"/>
    <mergeCell ref="F9:G9"/>
    <mergeCell ref="H9:I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5"/>
  <sheetViews>
    <sheetView zoomScale="68" zoomScaleNormal="68" workbookViewId="0">
      <pane xSplit="1" ySplit="1" topLeftCell="B4" activePane="bottomRight" state="frozen"/>
      <selection pane="topRight" activeCell="B1" sqref="B1"/>
      <selection pane="bottomLeft" activeCell="A7" sqref="A7"/>
      <selection pane="bottomRight" activeCell="E5" sqref="E5"/>
    </sheetView>
  </sheetViews>
  <sheetFormatPr baseColWidth="10" defaultRowHeight="12.75"/>
  <cols>
    <col min="1" max="1" width="24.28515625" style="1" bestFit="1" customWidth="1"/>
    <col min="2" max="2" width="21.85546875" style="1" customWidth="1"/>
    <col min="3" max="3" width="17.42578125" style="31" customWidth="1"/>
    <col min="4" max="4" width="33.85546875" style="2" customWidth="1"/>
    <col min="5" max="5" width="36" style="2" customWidth="1"/>
    <col min="6" max="6" width="61.140625" style="2" customWidth="1"/>
    <col min="7" max="7" width="18" style="1" customWidth="1"/>
    <col min="8" max="8" width="12.42578125" style="1" customWidth="1"/>
    <col min="9" max="16384" width="11.42578125" style="2"/>
  </cols>
  <sheetData>
    <row r="3" spans="1:8" ht="36" customHeight="1">
      <c r="A3" s="45" t="s">
        <v>22</v>
      </c>
      <c r="B3" s="47" t="s">
        <v>25</v>
      </c>
      <c r="C3" s="48"/>
      <c r="D3" s="48"/>
      <c r="E3" s="48"/>
      <c r="F3" s="48"/>
      <c r="G3" s="48"/>
      <c r="H3" s="49"/>
    </row>
    <row r="4" spans="1:8" ht="38.25">
      <c r="A4" s="46"/>
      <c r="B4" s="15" t="s">
        <v>31</v>
      </c>
      <c r="C4" s="15" t="s">
        <v>28</v>
      </c>
      <c r="D4" s="15" t="s">
        <v>38</v>
      </c>
      <c r="E4" s="15" t="s">
        <v>24</v>
      </c>
      <c r="F4" s="15" t="s">
        <v>40</v>
      </c>
      <c r="G4" s="15" t="s">
        <v>39</v>
      </c>
      <c r="H4" s="15" t="s">
        <v>26</v>
      </c>
    </row>
    <row r="5" spans="1:8" ht="355.5" customHeight="1">
      <c r="A5" s="36" t="str">
        <f>EXP.ESPECIFICA!A11</f>
        <v>Esri Ecuador S.A.	RUC: 1792833698001</v>
      </c>
      <c r="B5" s="37" t="s">
        <v>59</v>
      </c>
      <c r="C5" s="18" t="s">
        <v>64</v>
      </c>
      <c r="D5" s="30" t="s">
        <v>62</v>
      </c>
      <c r="E5" s="25" t="s">
        <v>60</v>
      </c>
      <c r="F5" s="20" t="s">
        <v>66</v>
      </c>
      <c r="G5" s="27" t="s">
        <v>65</v>
      </c>
      <c r="H5" s="26" t="s">
        <v>18</v>
      </c>
    </row>
  </sheetData>
  <mergeCells count="2">
    <mergeCell ref="A3:A4"/>
    <mergeCell ref="B3:H3"/>
  </mergeCells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5"/>
  <sheetViews>
    <sheetView workbookViewId="0">
      <selection activeCell="C6" sqref="C6"/>
    </sheetView>
  </sheetViews>
  <sheetFormatPr baseColWidth="10" defaultRowHeight="15"/>
  <cols>
    <col min="1" max="1" width="19.85546875" bestFit="1" customWidth="1"/>
    <col min="2" max="2" width="30.85546875" customWidth="1"/>
    <col min="3" max="3" width="20.42578125" customWidth="1"/>
  </cols>
  <sheetData>
    <row r="2" spans="1:3" ht="28.5" customHeight="1">
      <c r="A2" s="50" t="s">
        <v>2</v>
      </c>
      <c r="B2" s="50" t="s">
        <v>3</v>
      </c>
      <c r="C2" s="32" t="s">
        <v>22</v>
      </c>
    </row>
    <row r="3" spans="1:3" ht="39.75" customHeight="1">
      <c r="A3" s="50"/>
      <c r="B3" s="50"/>
      <c r="C3" s="21" t="str">
        <f>'ACT APERTURA Y CONVAL'!B6</f>
        <v>Esri Ecuador S.A.	RUC: 1792833698001</v>
      </c>
    </row>
    <row r="4" spans="1:3">
      <c r="A4" s="22" t="s">
        <v>4</v>
      </c>
      <c r="B4" s="23" t="s">
        <v>5</v>
      </c>
      <c r="C4" s="24">
        <v>2.06</v>
      </c>
    </row>
    <row r="5" spans="1:3">
      <c r="A5" s="22" t="s">
        <v>6</v>
      </c>
      <c r="B5" s="23" t="s">
        <v>7</v>
      </c>
      <c r="C5" s="24">
        <v>1.49</v>
      </c>
    </row>
  </sheetData>
  <mergeCells count="2">
    <mergeCell ref="B2:B3"/>
    <mergeCell ref="A2:A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E19"/>
  <sheetViews>
    <sheetView tabSelected="1" topLeftCell="A7" zoomScale="85" zoomScaleNormal="85" workbookViewId="0">
      <selection activeCell="H12" sqref="H12"/>
    </sheetView>
  </sheetViews>
  <sheetFormatPr baseColWidth="10" defaultRowHeight="15"/>
  <cols>
    <col min="2" max="2" width="19.28515625" style="5" customWidth="1"/>
    <col min="3" max="3" width="7.7109375" style="5" bestFit="1" customWidth="1"/>
    <col min="4" max="4" width="10.28515625" style="5" bestFit="1" customWidth="1"/>
    <col min="5" max="5" width="13.7109375" style="5" bestFit="1" customWidth="1"/>
  </cols>
  <sheetData>
    <row r="3" spans="2:5" ht="27.75" customHeight="1">
      <c r="B3" s="52" t="s">
        <v>21</v>
      </c>
      <c r="C3" s="52"/>
      <c r="D3" s="52"/>
      <c r="E3" s="52"/>
    </row>
    <row r="4" spans="2:5" ht="19.5" customHeight="1">
      <c r="B4" s="56" t="s">
        <v>17</v>
      </c>
      <c r="C4" s="51" t="s">
        <v>0</v>
      </c>
      <c r="D4" s="51"/>
      <c r="E4" s="51"/>
    </row>
    <row r="5" spans="2:5">
      <c r="B5" s="56"/>
      <c r="C5" s="51"/>
      <c r="D5" s="51"/>
      <c r="E5" s="51"/>
    </row>
    <row r="6" spans="2:5" ht="51.75" customHeight="1">
      <c r="B6" s="56"/>
      <c r="C6" s="53" t="str">
        <f>'ACT APERTURA Y CONVAL'!B6</f>
        <v>Esri Ecuador S.A.	RUC: 1792833698001</v>
      </c>
      <c r="D6" s="54"/>
      <c r="E6" s="55"/>
    </row>
    <row r="7" spans="2:5" ht="28.5" customHeight="1">
      <c r="B7" s="56"/>
      <c r="C7" s="9" t="s">
        <v>18</v>
      </c>
      <c r="D7" s="9" t="s">
        <v>19</v>
      </c>
      <c r="E7" s="9" t="s">
        <v>20</v>
      </c>
    </row>
    <row r="8" spans="2:5" ht="30">
      <c r="B8" s="34" t="s">
        <v>45</v>
      </c>
      <c r="C8" s="33" t="s">
        <v>27</v>
      </c>
      <c r="D8" s="4"/>
      <c r="E8" s="4"/>
    </row>
    <row r="9" spans="2:5" ht="30">
      <c r="B9" s="34" t="s">
        <v>46</v>
      </c>
      <c r="C9" s="33" t="s">
        <v>27</v>
      </c>
      <c r="D9" s="4"/>
      <c r="E9" s="4"/>
    </row>
    <row r="10" spans="2:5" ht="30">
      <c r="B10" s="34" t="s">
        <v>47</v>
      </c>
      <c r="C10" s="33" t="s">
        <v>27</v>
      </c>
      <c r="D10" s="4"/>
      <c r="E10" s="4"/>
    </row>
    <row r="11" spans="2:5" ht="30">
      <c r="B11" s="34" t="s">
        <v>48</v>
      </c>
      <c r="C11" s="33" t="s">
        <v>27</v>
      </c>
      <c r="D11" s="3"/>
      <c r="E11" s="3"/>
    </row>
    <row r="12" spans="2:5" ht="30">
      <c r="B12" s="34" t="s">
        <v>49</v>
      </c>
      <c r="C12" s="33" t="s">
        <v>27</v>
      </c>
      <c r="D12" s="4"/>
      <c r="E12" s="4"/>
    </row>
    <row r="13" spans="2:5" ht="30">
      <c r="B13" s="34" t="s">
        <v>50</v>
      </c>
      <c r="C13" s="33" t="s">
        <v>27</v>
      </c>
      <c r="D13" s="4"/>
      <c r="E13" s="4"/>
    </row>
    <row r="14" spans="2:5" ht="30">
      <c r="B14" s="34" t="s">
        <v>51</v>
      </c>
      <c r="C14" s="33" t="s">
        <v>27</v>
      </c>
      <c r="D14" s="35"/>
      <c r="E14" s="35"/>
    </row>
    <row r="15" spans="2:5">
      <c r="B15" s="34" t="s">
        <v>52</v>
      </c>
      <c r="C15" s="33" t="s">
        <v>27</v>
      </c>
      <c r="D15" s="35"/>
      <c r="E15" s="35"/>
    </row>
    <row r="16" spans="2:5" ht="30">
      <c r="B16" s="34" t="s">
        <v>53</v>
      </c>
      <c r="C16" s="33"/>
      <c r="D16" s="35"/>
      <c r="E16" s="35" t="s">
        <v>55</v>
      </c>
    </row>
    <row r="17" spans="2:5">
      <c r="B17" s="34" t="s">
        <v>54</v>
      </c>
      <c r="C17" s="33" t="s">
        <v>27</v>
      </c>
      <c r="D17" s="3"/>
      <c r="E17" s="3"/>
    </row>
    <row r="19" spans="2:5">
      <c r="E19"/>
    </row>
  </sheetData>
  <mergeCells count="4">
    <mergeCell ref="C4:E5"/>
    <mergeCell ref="B3:E3"/>
    <mergeCell ref="C6:E6"/>
    <mergeCell ref="B4:B7"/>
  </mergeCells>
  <pageMargins left="0.7" right="0.7" top="0.75" bottom="0.75" header="0.3" footer="0.3"/>
  <pageSetup paperSize="9" orientation="portrait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7ED4CEE408714C957C2C614F7365D3" ma:contentTypeVersion="12" ma:contentTypeDescription="Crear nuevo documento." ma:contentTypeScope="" ma:versionID="c227b97bf78ad084d5279b0ec5ba7055">
  <xsd:schema xmlns:xsd="http://www.w3.org/2001/XMLSchema" xmlns:xs="http://www.w3.org/2001/XMLSchema" xmlns:p="http://schemas.microsoft.com/office/2006/metadata/properties" xmlns:ns2="fdeddf23-0fe4-452c-aa94-452fcc5a443e" xmlns:ns3="27c16ab3-de0c-4469-9b60-13e285452d3e" targetNamespace="http://schemas.microsoft.com/office/2006/metadata/properties" ma:root="true" ma:fieldsID="ee60bef5c754df8ff645513cc3d50d81" ns2:_="" ns3:_="">
    <xsd:import namespace="fdeddf23-0fe4-452c-aa94-452fcc5a443e"/>
    <xsd:import namespace="27c16ab3-de0c-4469-9b60-13e285452d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ddf23-0fe4-452c-aa94-452fcc5a443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16ab3-de0c-4469-9b60-13e285452d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f628d6f-dc4d-4ddb-bc83-d335f5ae999d}" ma:internalName="TaxCatchAll" ma:showField="CatchAllData" ma:web="27c16ab3-de0c-4469-9b60-13e285452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c16ab3-de0c-4469-9b60-13e285452d3e" xsi:nil="true"/>
    <lcf76f155ced4ddcb4097134ff3c332f xmlns="fdeddf23-0fe4-452c-aa94-452fcc5a44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C9A41F-B6B8-4D00-A3E2-2AD3DF2C66E4}"/>
</file>

<file path=customXml/itemProps2.xml><?xml version="1.0" encoding="utf-8"?>
<ds:datastoreItem xmlns:ds="http://schemas.openxmlformats.org/officeDocument/2006/customXml" ds:itemID="{E1EB083C-7649-44D3-A2D5-66907213BAFD}"/>
</file>

<file path=customXml/itemProps3.xml><?xml version="1.0" encoding="utf-8"?>
<ds:datastoreItem xmlns:ds="http://schemas.openxmlformats.org/officeDocument/2006/customXml" ds:itemID="{2C3E240B-AC55-498F-B39E-C38F26CEA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 APERTURA Y CONVAL</vt:lpstr>
      <vt:lpstr>EXP.ESPECIFICA</vt:lpstr>
      <vt:lpstr>PERSONAL TECNICO </vt:lpstr>
      <vt:lpstr>INDICES FINANCIEROS</vt:lpstr>
      <vt:lpstr>VERIFICACION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Maritza Satama Jumbo</dc:creator>
  <cp:lastModifiedBy>Norma Elizabeth Arcos Pilaluisa</cp:lastModifiedBy>
  <cp:lastPrinted>2022-04-08T16:54:42Z</cp:lastPrinted>
  <dcterms:created xsi:type="dcterms:W3CDTF">2019-08-21T13:51:07Z</dcterms:created>
  <dcterms:modified xsi:type="dcterms:W3CDTF">2025-04-22T21:03:48Z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0x010100DA7ED4CEE408714C957C2C614F7365D3</vt:lpwstr>
  </property>
</Properties>
</file>