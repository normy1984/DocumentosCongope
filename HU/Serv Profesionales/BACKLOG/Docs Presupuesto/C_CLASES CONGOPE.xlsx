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TERIAL CLASES CONTAB GUBERNAM\"/>
    </mc:Choice>
  </mc:AlternateContent>
  <bookViews>
    <workbookView xWindow="0" yWindow="0" windowWidth="20490" windowHeight="7650" activeTab="3"/>
  </bookViews>
  <sheets>
    <sheet name="Hoja1" sheetId="1" r:id="rId1"/>
    <sheet name="primero" sheetId="4" r:id="rId2"/>
    <sheet name="Hoja2" sheetId="2" r:id="rId3"/>
    <sheet name="Hoja3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1" i="1" l="1"/>
  <c r="K32" i="1"/>
  <c r="I32" i="1"/>
  <c r="H32" i="1"/>
  <c r="J32" i="1" s="1"/>
  <c r="E32" i="1"/>
  <c r="H31" i="1"/>
  <c r="J31" i="1"/>
  <c r="E31" i="1"/>
  <c r="I31" i="1" l="1"/>
  <c r="V4" i="4"/>
  <c r="U4" i="4"/>
  <c r="P4" i="4"/>
  <c r="T4" i="4" s="1"/>
</calcChain>
</file>

<file path=xl/sharedStrings.xml><?xml version="1.0" encoding="utf-8"?>
<sst xmlns="http://schemas.openxmlformats.org/spreadsheetml/2006/main" count="261" uniqueCount="209">
  <si>
    <t>CLASIFICADOR PRESUPUESTARIO PARA EL SECTOR PÚBLICO</t>
  </si>
  <si>
    <t>Tipo</t>
  </si>
  <si>
    <t>Grupo</t>
  </si>
  <si>
    <t>Subgrupo</t>
  </si>
  <si>
    <t>Ítem</t>
  </si>
  <si>
    <t>51.05.10</t>
  </si>
  <si>
    <t>partida presupuestaria</t>
  </si>
  <si>
    <t>Conceptos claves</t>
  </si>
  <si>
    <t>Asignación inicial</t>
  </si>
  <si>
    <t>Reformas</t>
  </si>
  <si>
    <t>Codificado</t>
  </si>
  <si>
    <t xml:space="preserve">Devengado </t>
  </si>
  <si>
    <t>Por devengar</t>
  </si>
  <si>
    <t>Comprometido</t>
  </si>
  <si>
    <t>Por Comprometer</t>
  </si>
  <si>
    <t>Pagado / Recaudado</t>
  </si>
  <si>
    <t>1. Para ejecutar cualquier compra de bienes o servicios o contratación en general, se debe verificar si se encuentra previsto en el POA (Plan Operativo Anual), posterior a ello se debe contar con la certificación</t>
  </si>
  <si>
    <t>CATALOGO DE CUENTAS</t>
  </si>
  <si>
    <t>Apertura</t>
  </si>
  <si>
    <t>Financiero</t>
  </si>
  <si>
    <t>Ajuste</t>
  </si>
  <si>
    <t>Reverso</t>
  </si>
  <si>
    <t>Cierre</t>
  </si>
  <si>
    <t>titulo</t>
  </si>
  <si>
    <t>grupo</t>
  </si>
  <si>
    <t>subgrupo</t>
  </si>
  <si>
    <t>cuenta nivel 1</t>
  </si>
  <si>
    <t>cuenta nivel 2</t>
  </si>
  <si>
    <t>634.08.02</t>
  </si>
  <si>
    <t>TIPOS DE MOVIMIENTOS</t>
  </si>
  <si>
    <t>ESTADOS FINANCIEROS</t>
  </si>
  <si>
    <t>Estado de Situación Financiera</t>
  </si>
  <si>
    <t>Estado de Rendimiento Financiero (Resultados)</t>
  </si>
  <si>
    <t>Estado de Cambios en el Patrimonio</t>
  </si>
  <si>
    <t>Estado de Ejecución Presupuestaria y sus anexos (cédulas presupuestarias de ingresos y gastos)</t>
  </si>
  <si>
    <t>Estado de Flujo del Efectivo</t>
  </si>
  <si>
    <t>Balance de Comprobación Acumulado (8 columnas)</t>
  </si>
  <si>
    <t>Revelaciones (Notas aclaratorias)</t>
  </si>
  <si>
    <t>Proforma, presupuesto aprobado en diciembre para lo cual se genera un POA, PAC(plan anual de contratación)</t>
  </si>
  <si>
    <t>Traspaso, aumento o disminución</t>
  </si>
  <si>
    <t>Asignación inicial + o - reformas</t>
  </si>
  <si>
    <t>Valor que la unidad que va a realizar la compra necesita verificar la disponibilidad. Menor o igual al codificado</t>
  </si>
  <si>
    <t>Codificado menos el comprometido</t>
  </si>
  <si>
    <t>Menor o igual al comprometido y codificado. Valor que en registros contables yo devengo.</t>
  </si>
  <si>
    <t>Comprometido menos mi devengado</t>
  </si>
  <si>
    <t>Sale o ingresa a bancos el dinero.</t>
  </si>
  <si>
    <t>de disponibilidad presupuestaria y previo a realizar el registro de devengado se debe contar con el compromiso emitido por el área de presupuesto.</t>
  </si>
  <si>
    <t>Hasta este nivel el MEF puede tener control</t>
  </si>
  <si>
    <t>634.08.02.x.y.p.a</t>
  </si>
  <si>
    <t>x</t>
  </si>
  <si>
    <t>proyecto</t>
  </si>
  <si>
    <t>y</t>
  </si>
  <si>
    <t>Programa</t>
  </si>
  <si>
    <t>subprograma</t>
  </si>
  <si>
    <t>p</t>
  </si>
  <si>
    <t>a</t>
  </si>
  <si>
    <t>actividad</t>
  </si>
  <si>
    <t>01</t>
  </si>
  <si>
    <t>05</t>
  </si>
  <si>
    <t>008</t>
  </si>
  <si>
    <t>90</t>
  </si>
  <si>
    <t>634.08.02.01.05.008.90</t>
  </si>
  <si>
    <t>Asiento de apertura con lo que se inicia las operaciones al 1 de enero de c/año</t>
  </si>
  <si>
    <t>AS,CD</t>
  </si>
  <si>
    <t>Registros de devengado y registros de pago o recaudo. Va a teenr relación con presupuesto</t>
  </si>
  <si>
    <t>2.1.3</t>
  </si>
  <si>
    <t>FINANCIERO</t>
  </si>
  <si>
    <t>DEVENGADO</t>
  </si>
  <si>
    <t>PAGADO</t>
  </si>
  <si>
    <t>Registro que muestra un ajuste, casi siempre no va a tener relación con presupuesto</t>
  </si>
  <si>
    <t>112.01.03</t>
  </si>
  <si>
    <t>2.1.2.17</t>
  </si>
  <si>
    <t>AJUSTE</t>
  </si>
  <si>
    <t>Registro que me permita un error</t>
  </si>
  <si>
    <t>ESIGEF</t>
  </si>
  <si>
    <t>Sistema Financiero</t>
  </si>
  <si>
    <t>Sector Público</t>
  </si>
  <si>
    <t>Registros que trasladan los saldos de ciertas cuentas a otras el 31 de diciembre de c/año</t>
  </si>
  <si>
    <t>2.1.3.53</t>
  </si>
  <si>
    <t>224.98.01</t>
  </si>
  <si>
    <t xml:space="preserve">Normativa de Contabilidad </t>
  </si>
  <si>
    <t>Gubernamental</t>
  </si>
  <si>
    <t>Planificación, POA, Presupuesto</t>
  </si>
  <si>
    <t>634.08.02.01.05.008.91</t>
  </si>
  <si>
    <t>634.08.02.01.05.007.91</t>
  </si>
  <si>
    <t>1. Se entrega al contratista Abdo $6700 en calidad de anticipo para la obra de construcción carretera xdf</t>
  </si>
  <si>
    <t>Anticipos a Contratistas de Obras</t>
  </si>
  <si>
    <t>Banco Central del Ecuador Moneda de Curso Legal</t>
  </si>
  <si>
    <t>anticipo</t>
  </si>
  <si>
    <t>no necesita devengamiento</t>
  </si>
  <si>
    <t xml:space="preserve">de sueldos </t>
  </si>
  <si>
    <t>de un proveedor</t>
  </si>
  <si>
    <t>2. Compramos un vehículo para la gestión administrativa de la institución $23000 con la partida 84.01.05</t>
  </si>
  <si>
    <t>141.01.05</t>
  </si>
  <si>
    <t>Vehiculo</t>
  </si>
  <si>
    <t>compra</t>
  </si>
  <si>
    <t>necesita un devengado</t>
  </si>
  <si>
    <t>2.1.3.84</t>
  </si>
  <si>
    <t>Cuentas por Pagar Inversiones en Bienes de Larga Duración</t>
  </si>
  <si>
    <r>
      <t>2.1.3.</t>
    </r>
    <r>
      <rPr>
        <sz val="11"/>
        <color rgb="FFFF0000"/>
        <rFont val="Calibri"/>
        <family val="2"/>
        <scheme val="minor"/>
      </rPr>
      <t>84</t>
    </r>
  </si>
  <si>
    <r>
      <rPr>
        <sz val="11"/>
        <color rgb="FFFF0000"/>
        <rFont val="Calibri"/>
        <family val="2"/>
        <scheme val="minor"/>
      </rPr>
      <t>84</t>
    </r>
    <r>
      <rPr>
        <sz val="11"/>
        <color theme="1"/>
        <rFont val="Calibri"/>
        <family val="2"/>
        <scheme val="minor"/>
      </rPr>
      <t>.01.05</t>
    </r>
  </si>
  <si>
    <t>proveedor</t>
  </si>
  <si>
    <t>3. Compramos  pasajes aéreos para funcionarios del departamento financiero $450</t>
  </si>
  <si>
    <t>634.03.01</t>
  </si>
  <si>
    <t>Pasajes al Interior</t>
  </si>
  <si>
    <t>53.03.01</t>
  </si>
  <si>
    <t>Cuentas por Pagar Bienes y Servicios de Consumo</t>
  </si>
  <si>
    <t>4. Pago por la compra del vehículo</t>
  </si>
  <si>
    <t>5. Pago por los pasajes aéreos</t>
  </si>
  <si>
    <t>devengado</t>
  </si>
  <si>
    <t>pagado</t>
  </si>
  <si>
    <t>6. Recarga de Extintores para la obra xyz</t>
  </si>
  <si>
    <t>151.32.03</t>
  </si>
  <si>
    <t>Almacenamiento, Embalaje, Envase y Recarga de Extintores</t>
  </si>
  <si>
    <r>
      <t>2.1.3.</t>
    </r>
    <r>
      <rPr>
        <sz val="11"/>
        <color rgb="FFFF0000"/>
        <rFont val="Calibri"/>
        <family val="2"/>
        <scheme val="minor"/>
      </rPr>
      <t>73</t>
    </r>
  </si>
  <si>
    <r>
      <rPr>
        <sz val="11"/>
        <color rgb="FFFF0000"/>
        <rFont val="Calibri"/>
        <family val="2"/>
        <scheme val="minor"/>
      </rPr>
      <t>73</t>
    </r>
    <r>
      <rPr>
        <sz val="11"/>
        <color theme="1"/>
        <rFont val="Calibri"/>
        <family val="2"/>
        <scheme val="minor"/>
      </rPr>
      <t>.02.03</t>
    </r>
  </si>
  <si>
    <t>Cuentas por Pagar Bienes y Servicios para Inversión</t>
  </si>
  <si>
    <t>x.y.p.a+ partida+ clasificador orientador de gasto + fuente de financiamiento</t>
  </si>
  <si>
    <t>01.05.008.90.5.51.05.10.05.02.04.001</t>
  </si>
  <si>
    <t>Registro de la obligación de pago</t>
  </si>
  <si>
    <t>Valor que sale de la cta bancaria</t>
  </si>
  <si>
    <t>cxc</t>
  </si>
  <si>
    <t>disponibilidades</t>
  </si>
  <si>
    <t>Recepción del dinero</t>
  </si>
  <si>
    <t>ingresos</t>
  </si>
  <si>
    <t>Devengado de ingresos</t>
  </si>
  <si>
    <t>2. recepción del dinero en bancos</t>
  </si>
  <si>
    <t>1. devengado de ingresos (obligación de cobro)</t>
  </si>
  <si>
    <t>cuando es un ingreso</t>
  </si>
  <si>
    <t>CEDULA PRESUPUESTARIA</t>
  </si>
  <si>
    <t>CLASIFICADOR PRESUPUESTARIO INGRESOS Y GASTOS</t>
  </si>
  <si>
    <t>+ o -</t>
  </si>
  <si>
    <t>+asig+-reform</t>
  </si>
  <si>
    <t>proformas</t>
  </si>
  <si>
    <t>contrato</t>
  </si>
  <si>
    <t>registr contab
factura</t>
  </si>
  <si>
    <t>tesoreria
sale bcos</t>
  </si>
  <si>
    <t>GRUPOS</t>
  </si>
  <si>
    <t>INGRESOS</t>
  </si>
  <si>
    <t>GRUPO</t>
  </si>
  <si>
    <t>GASTOS</t>
  </si>
  <si>
    <t>CODIGO</t>
  </si>
  <si>
    <t>NOMBRE</t>
  </si>
  <si>
    <t>ASIGNACION INICIAL</t>
  </si>
  <si>
    <t>REFORMAS</t>
  </si>
  <si>
    <t>codificado</t>
  </si>
  <si>
    <t>certificado</t>
  </si>
  <si>
    <t>comprometido</t>
  </si>
  <si>
    <t>por comprometer</t>
  </si>
  <si>
    <t>por devengar</t>
  </si>
  <si>
    <t>INGRESOS CORRIENTES</t>
  </si>
  <si>
    <t>18.01.01</t>
  </si>
  <si>
    <t>GASTOS CORRIENTES</t>
  </si>
  <si>
    <t>53.08.02</t>
  </si>
  <si>
    <t>VESTUARIO</t>
  </si>
  <si>
    <t>INGRESOS DE CAPITAL</t>
  </si>
  <si>
    <t>28.01.01</t>
  </si>
  <si>
    <t>GASTOS DE PRODUCCION</t>
  </si>
  <si>
    <t>63.08.02</t>
  </si>
  <si>
    <t>aumento</t>
  </si>
  <si>
    <t>menor o igual al devengado</t>
  </si>
  <si>
    <t>INGRESOS DE FINANCIAMIENTO</t>
  </si>
  <si>
    <t>GASTOS DE INVERSION</t>
  </si>
  <si>
    <t>73.08.02</t>
  </si>
  <si>
    <t>disminución</t>
  </si>
  <si>
    <t>GASTOS DE CAPITAL</t>
  </si>
  <si>
    <t>traspaso</t>
  </si>
  <si>
    <t>APLICACIÓN DEL FINANCIAMIENTO</t>
  </si>
  <si>
    <t>CATALOGO GENERAL DE CUENTAS</t>
  </si>
  <si>
    <t>CTAS</t>
  </si>
  <si>
    <t>ACTIVOS</t>
  </si>
  <si>
    <t>9.1.1.09</t>
  </si>
  <si>
    <t>Garantías en Valores, Bienes y Documentos</t>
  </si>
  <si>
    <t>PASIVOS</t>
  </si>
  <si>
    <t>9.2.1.09</t>
  </si>
  <si>
    <t>CUENTAS DE ORDEN DEUDORAS</t>
  </si>
  <si>
    <t>CUENTAS DE ORDEN ACREEDORAS</t>
  </si>
  <si>
    <t>DISPONIBILIDADES</t>
  </si>
  <si>
    <t>BCE</t>
  </si>
  <si>
    <t>devengado de ingresos y gastos</t>
  </si>
  <si>
    <t>consecuencia es</t>
  </si>
  <si>
    <t>pagado o cobro</t>
  </si>
  <si>
    <t>CTA ROTATIVA</t>
  </si>
  <si>
    <t>ANTICIPOS</t>
  </si>
  <si>
    <t>derecho de cobro o de pago</t>
  </si>
  <si>
    <t>pago o recaudo</t>
  </si>
  <si>
    <t>Anticipos de Remuneraciones Tipo “C”</t>
  </si>
  <si>
    <t>DE INGRESOS</t>
  </si>
  <si>
    <t>112.13.01</t>
  </si>
  <si>
    <t>Caja Chica Institucional</t>
  </si>
  <si>
    <t>112.13.03</t>
  </si>
  <si>
    <t>Fondo Rotativo Institucional</t>
  </si>
  <si>
    <t>625.21.01</t>
  </si>
  <si>
    <t>19.01.01</t>
  </si>
  <si>
    <t>CXC</t>
  </si>
  <si>
    <t>DE GASTOS</t>
  </si>
  <si>
    <t>63 /141/ 151/152</t>
  </si>
  <si>
    <t>633.07.02</t>
  </si>
  <si>
    <r>
      <rPr>
        <b/>
        <sz val="11"/>
        <color rgb="FFFF0000"/>
        <rFont val="Calibri"/>
        <family val="2"/>
        <scheme val="minor"/>
      </rPr>
      <t>51</t>
    </r>
    <r>
      <rPr>
        <sz val="11"/>
        <color theme="1"/>
        <rFont val="Calibri"/>
        <family val="2"/>
        <scheme val="minor"/>
      </rPr>
      <t>.07.02</t>
    </r>
  </si>
  <si>
    <t>Obligacion de cobro / obligación de pago</t>
  </si>
  <si>
    <t>Ingreso o salida de dinero del banco</t>
  </si>
  <si>
    <t>vehículo</t>
  </si>
  <si>
    <t>pasajes al interior</t>
  </si>
  <si>
    <t>01.01.001.002.041.8.84.01.05.01.02.03.002</t>
  </si>
  <si>
    <t>01.01.001.002.041.5.53.03.01.01.02.03.001</t>
  </si>
  <si>
    <t>DEVENGADO devengado</t>
  </si>
  <si>
    <t>reverso signo negat</t>
  </si>
  <si>
    <t>CIERRE directriz MEF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</si>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</sst>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 &quot;$&quot;* #,##0.00_ ;_ &quot;$&quot;* \-#,##0.00_ ;_ &quot;$&quot;* &quot;-&quot;??_ ;_ @_ "/>
    <numFmt numFmtId="164" formatCode="_-[$$-409]* #,##0.00_ ;_-[$$-409]* \-#,##0.00\ ;_-[$$-409]* &quot;-&quot;??_ ;_-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quotePrefix="1"/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2" borderId="0" xfId="0" applyFont="1" applyFill="1"/>
    <xf numFmtId="0" fontId="5" fillId="0" borderId="0" xfId="0" applyFont="1"/>
    <xf numFmtId="0" fontId="0" fillId="3" borderId="0" xfId="0" applyFill="1" applyAlignment="1">
      <alignment horizontal="right"/>
    </xf>
    <xf numFmtId="0" fontId="0" fillId="3" borderId="0" xfId="0" applyFill="1"/>
    <xf numFmtId="0" fontId="0" fillId="4" borderId="0" xfId="0" applyFill="1" applyAlignment="1">
      <alignment horizontal="right"/>
    </xf>
    <xf numFmtId="0" fontId="0" fillId="4" borderId="0" xfId="0" applyFill="1"/>
    <xf numFmtId="0" fontId="1" fillId="0" borderId="4" xfId="0" applyFont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7" fillId="5" borderId="0" xfId="0" applyFont="1" applyFill="1"/>
    <xf numFmtId="0" fontId="0" fillId="6" borderId="0" xfId="0" applyFill="1"/>
    <xf numFmtId="0" fontId="0" fillId="7" borderId="0" xfId="0" applyFill="1"/>
    <xf numFmtId="0" fontId="8" fillId="8" borderId="0" xfId="0" applyFont="1" applyFill="1"/>
    <xf numFmtId="0" fontId="2" fillId="5" borderId="0" xfId="0" applyFont="1" applyFill="1"/>
    <xf numFmtId="0" fontId="0" fillId="9" borderId="0" xfId="0" applyFill="1"/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64" fontId="0" fillId="0" borderId="1" xfId="0" applyNumberFormat="1" applyBorder="1"/>
    <xf numFmtId="0" fontId="2" fillId="0" borderId="0" xfId="0" applyFont="1" applyAlignment="1">
      <alignment wrapText="1"/>
    </xf>
    <xf numFmtId="0" fontId="0" fillId="0" borderId="7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10" borderId="0" xfId="0" applyFill="1"/>
    <xf numFmtId="44" fontId="0" fillId="0" borderId="1" xfId="1" applyFont="1" applyBorder="1"/>
    <xf numFmtId="44" fontId="0" fillId="0" borderId="0" xfId="1" applyFont="1" applyBorder="1"/>
    <xf numFmtId="44" fontId="0" fillId="0" borderId="0" xfId="1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A28" workbookViewId="0">
      <selection activeCell="K31" sqref="K31"/>
    </sheetView>
  </sheetViews>
  <sheetFormatPr baseColWidth="10" defaultRowHeight="15" x14ac:dyDescent="0.25"/>
  <cols>
    <col min="1" max="1" width="47.5703125" customWidth="1"/>
    <col min="2" max="2" width="19.140625" customWidth="1"/>
    <col min="3" max="3" width="14" customWidth="1"/>
    <col min="7" max="7" width="14.140625" customWidth="1"/>
    <col min="9" max="9" width="14.140625" customWidth="1"/>
    <col min="10" max="10" width="15.7109375" customWidth="1"/>
  </cols>
  <sheetData>
    <row r="1" spans="1:10" x14ac:dyDescent="0.25">
      <c r="A1" s="1" t="s">
        <v>0</v>
      </c>
      <c r="H1" s="50" t="s">
        <v>82</v>
      </c>
      <c r="I1" s="50"/>
      <c r="J1" s="50"/>
    </row>
    <row r="2" spans="1:10" x14ac:dyDescent="0.25">
      <c r="A2">
        <v>5</v>
      </c>
      <c r="B2" t="s">
        <v>1</v>
      </c>
      <c r="H2" s="3" t="s">
        <v>57</v>
      </c>
      <c r="I2" t="s">
        <v>49</v>
      </c>
      <c r="J2" t="s">
        <v>52</v>
      </c>
    </row>
    <row r="3" spans="1:10" x14ac:dyDescent="0.25">
      <c r="A3">
        <v>51</v>
      </c>
      <c r="B3" t="s">
        <v>2</v>
      </c>
    </row>
    <row r="4" spans="1:10" x14ac:dyDescent="0.25">
      <c r="A4">
        <v>5</v>
      </c>
      <c r="B4" t="s">
        <v>3</v>
      </c>
      <c r="H4" s="3" t="s">
        <v>58</v>
      </c>
      <c r="I4" t="s">
        <v>51</v>
      </c>
      <c r="J4" t="s">
        <v>53</v>
      </c>
    </row>
    <row r="5" spans="1:10" x14ac:dyDescent="0.25">
      <c r="A5">
        <v>10</v>
      </c>
      <c r="B5" t="s">
        <v>4</v>
      </c>
    </row>
    <row r="6" spans="1:10" x14ac:dyDescent="0.25">
      <c r="H6" s="3" t="s">
        <v>59</v>
      </c>
      <c r="I6" t="s">
        <v>54</v>
      </c>
      <c r="J6" t="s">
        <v>50</v>
      </c>
    </row>
    <row r="7" spans="1:10" x14ac:dyDescent="0.25">
      <c r="A7" s="2" t="s">
        <v>5</v>
      </c>
      <c r="B7" t="s">
        <v>6</v>
      </c>
    </row>
    <row r="8" spans="1:10" x14ac:dyDescent="0.25">
      <c r="H8" s="3" t="s">
        <v>60</v>
      </c>
      <c r="I8" t="s">
        <v>55</v>
      </c>
      <c r="J8" t="s">
        <v>56</v>
      </c>
    </row>
    <row r="9" spans="1:10" x14ac:dyDescent="0.25">
      <c r="E9" t="s">
        <v>117</v>
      </c>
      <c r="H9" s="3"/>
    </row>
    <row r="10" spans="1:10" x14ac:dyDescent="0.25">
      <c r="E10" s="5" t="s">
        <v>118</v>
      </c>
      <c r="H10" s="3"/>
    </row>
    <row r="11" spans="1:10" x14ac:dyDescent="0.25">
      <c r="D11" s="5"/>
      <c r="H11" s="3"/>
    </row>
    <row r="12" spans="1:10" x14ac:dyDescent="0.25">
      <c r="D12" s="5"/>
      <c r="H12" s="3"/>
    </row>
    <row r="13" spans="1:10" x14ac:dyDescent="0.25">
      <c r="A13" s="1" t="s">
        <v>7</v>
      </c>
    </row>
    <row r="14" spans="1:10" x14ac:dyDescent="0.25">
      <c r="A14" t="s">
        <v>8</v>
      </c>
      <c r="B14" t="s">
        <v>38</v>
      </c>
    </row>
    <row r="15" spans="1:10" x14ac:dyDescent="0.25">
      <c r="A15" t="s">
        <v>9</v>
      </c>
      <c r="B15" t="s">
        <v>39</v>
      </c>
    </row>
    <row r="16" spans="1:10" x14ac:dyDescent="0.25">
      <c r="A16" t="s">
        <v>10</v>
      </c>
      <c r="B16" t="s">
        <v>40</v>
      </c>
    </row>
    <row r="17" spans="1:11" x14ac:dyDescent="0.25">
      <c r="A17" t="s">
        <v>13</v>
      </c>
      <c r="B17" t="s">
        <v>41</v>
      </c>
    </row>
    <row r="18" spans="1:11" x14ac:dyDescent="0.25">
      <c r="A18" t="s">
        <v>14</v>
      </c>
      <c r="B18" t="s">
        <v>42</v>
      </c>
    </row>
    <row r="19" spans="1:11" x14ac:dyDescent="0.25">
      <c r="A19" t="s">
        <v>11</v>
      </c>
      <c r="B19" t="s">
        <v>43</v>
      </c>
    </row>
    <row r="20" spans="1:11" x14ac:dyDescent="0.25">
      <c r="A20" t="s">
        <v>12</v>
      </c>
      <c r="B20" t="s">
        <v>44</v>
      </c>
    </row>
    <row r="21" spans="1:11" x14ac:dyDescent="0.25">
      <c r="A21" t="s">
        <v>15</v>
      </c>
      <c r="B21" t="s">
        <v>45</v>
      </c>
    </row>
    <row r="23" spans="1:11" x14ac:dyDescent="0.25">
      <c r="A23" t="s">
        <v>16</v>
      </c>
    </row>
    <row r="24" spans="1:11" x14ac:dyDescent="0.25">
      <c r="A24" t="s">
        <v>46</v>
      </c>
    </row>
    <row r="28" spans="1:11" ht="15.75" x14ac:dyDescent="0.25">
      <c r="A28" s="51" t="s">
        <v>129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</row>
    <row r="29" spans="1:11" ht="45" x14ac:dyDescent="0.25">
      <c r="D29" s="29" t="s">
        <v>131</v>
      </c>
      <c r="E29" s="30" t="s">
        <v>132</v>
      </c>
      <c r="F29" s="31" t="s">
        <v>133</v>
      </c>
      <c r="G29" s="31" t="s">
        <v>134</v>
      </c>
      <c r="H29" s="32" t="s">
        <v>135</v>
      </c>
      <c r="K29" s="33" t="s">
        <v>136</v>
      </c>
    </row>
    <row r="30" spans="1:11" ht="45" x14ac:dyDescent="0.25">
      <c r="A30" s="35" t="s">
        <v>141</v>
      </c>
      <c r="B30" s="35" t="s">
        <v>142</v>
      </c>
      <c r="C30" s="36" t="s">
        <v>143</v>
      </c>
      <c r="D30" s="35" t="s">
        <v>144</v>
      </c>
      <c r="E30" s="35" t="s">
        <v>145</v>
      </c>
      <c r="F30" s="35" t="s">
        <v>146</v>
      </c>
      <c r="G30" s="35" t="s">
        <v>147</v>
      </c>
      <c r="H30" s="35" t="s">
        <v>109</v>
      </c>
      <c r="I30" s="36" t="s">
        <v>148</v>
      </c>
      <c r="J30" s="35" t="s">
        <v>149</v>
      </c>
      <c r="K30" s="35" t="s">
        <v>110</v>
      </c>
    </row>
    <row r="31" spans="1:11" x14ac:dyDescent="0.25">
      <c r="A31" s="38" t="s">
        <v>203</v>
      </c>
      <c r="B31" s="38" t="s">
        <v>201</v>
      </c>
      <c r="C31" s="47">
        <v>60000</v>
      </c>
      <c r="D31" s="47">
        <v>100</v>
      </c>
      <c r="E31" s="47">
        <f>+C31+D31</f>
        <v>60100</v>
      </c>
      <c r="F31" s="47">
        <v>30000</v>
      </c>
      <c r="G31" s="47">
        <v>23000</v>
      </c>
      <c r="H31" s="47">
        <f>+Hoja3!I8</f>
        <v>23000</v>
      </c>
      <c r="I31" s="47">
        <f>+E31-G31</f>
        <v>37100</v>
      </c>
      <c r="J31" s="47">
        <f>+G31-H31</f>
        <v>0</v>
      </c>
      <c r="K31" s="47">
        <f>+Hoja3!G15</f>
        <v>23000</v>
      </c>
    </row>
    <row r="32" spans="1:11" x14ac:dyDescent="0.25">
      <c r="A32" s="38" t="s">
        <v>204</v>
      </c>
      <c r="B32" s="15" t="s">
        <v>202</v>
      </c>
      <c r="C32" s="49">
        <v>260</v>
      </c>
      <c r="D32" s="49">
        <v>300</v>
      </c>
      <c r="E32" s="47">
        <f>+C32+D32</f>
        <v>560</v>
      </c>
      <c r="F32" s="49">
        <v>450</v>
      </c>
      <c r="G32" s="49">
        <v>450</v>
      </c>
      <c r="H32" s="49">
        <f>+Hoja3!I12</f>
        <v>450</v>
      </c>
      <c r="I32" s="47">
        <f>+E32-G32</f>
        <v>110</v>
      </c>
      <c r="J32" s="47">
        <f>+G32-H32</f>
        <v>0</v>
      </c>
      <c r="K32" s="48">
        <f>+Hoja3!G19</f>
        <v>450</v>
      </c>
    </row>
    <row r="33" spans="4:11" ht="45" x14ac:dyDescent="0.25">
      <c r="D33" t="s">
        <v>159</v>
      </c>
      <c r="K33" s="41" t="s">
        <v>160</v>
      </c>
    </row>
    <row r="34" spans="4:11" x14ac:dyDescent="0.25">
      <c r="D34" t="s">
        <v>164</v>
      </c>
    </row>
    <row r="35" spans="4:11" x14ac:dyDescent="0.25">
      <c r="D35" t="s">
        <v>166</v>
      </c>
    </row>
  </sheetData>
  <mergeCells count="2">
    <mergeCell ref="H1:J1"/>
    <mergeCell ref="A28:K2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topLeftCell="A14" workbookViewId="0">
      <selection activeCell="H19" sqref="H19"/>
    </sheetView>
  </sheetViews>
  <sheetFormatPr baseColWidth="10" defaultRowHeight="15" x14ac:dyDescent="0.25"/>
  <cols>
    <col min="14" max="14" width="12.7109375" customWidth="1"/>
    <col min="16" max="16" width="14.42578125" customWidth="1"/>
    <col min="17" max="18" width="13.42578125" customWidth="1"/>
    <col min="20" max="20" width="15.28515625" customWidth="1"/>
    <col min="21" max="21" width="13.7109375" customWidth="1"/>
    <col min="22" max="22" width="13.42578125" customWidth="1"/>
  </cols>
  <sheetData>
    <row r="1" spans="1:22" ht="15.75" hidden="1" x14ac:dyDescent="0.25">
      <c r="L1" s="51" t="s">
        <v>129</v>
      </c>
      <c r="M1" s="51"/>
      <c r="N1" s="51"/>
      <c r="O1" s="51"/>
      <c r="P1" s="51"/>
      <c r="Q1" s="51"/>
      <c r="R1" s="51"/>
      <c r="S1" s="51"/>
      <c r="T1" s="51"/>
      <c r="U1" s="51"/>
      <c r="V1" s="51"/>
    </row>
    <row r="2" spans="1:22" ht="45.75" hidden="1" thickBot="1" x14ac:dyDescent="0.3">
      <c r="A2" s="52" t="s">
        <v>130</v>
      </c>
      <c r="B2" s="52"/>
      <c r="C2" s="52"/>
      <c r="D2" s="52"/>
      <c r="E2" s="52"/>
      <c r="F2" s="52"/>
      <c r="G2" s="52"/>
      <c r="H2" s="52"/>
      <c r="O2" s="29" t="s">
        <v>131</v>
      </c>
      <c r="P2" s="30" t="s">
        <v>132</v>
      </c>
      <c r="Q2" s="31" t="s">
        <v>133</v>
      </c>
      <c r="R2" s="31" t="s">
        <v>134</v>
      </c>
      <c r="S2" s="32" t="s">
        <v>135</v>
      </c>
      <c r="V2" s="33" t="s">
        <v>136</v>
      </c>
    </row>
    <row r="3" spans="1:22" ht="30.75" hidden="1" thickBot="1" x14ac:dyDescent="0.3">
      <c r="A3" s="34" t="s">
        <v>137</v>
      </c>
      <c r="B3" s="53" t="s">
        <v>138</v>
      </c>
      <c r="C3" s="53"/>
      <c r="D3" s="53"/>
      <c r="E3" s="54"/>
      <c r="F3" s="34" t="s">
        <v>139</v>
      </c>
      <c r="G3" s="53" t="s">
        <v>140</v>
      </c>
      <c r="H3" s="53"/>
      <c r="I3" s="53"/>
      <c r="J3" s="54"/>
      <c r="L3" s="35" t="s">
        <v>141</v>
      </c>
      <c r="M3" s="35" t="s">
        <v>142</v>
      </c>
      <c r="N3" s="36" t="s">
        <v>143</v>
      </c>
      <c r="O3" s="35" t="s">
        <v>144</v>
      </c>
      <c r="P3" s="35" t="s">
        <v>145</v>
      </c>
      <c r="Q3" s="35" t="s">
        <v>146</v>
      </c>
      <c r="R3" s="35" t="s">
        <v>147</v>
      </c>
      <c r="S3" s="35" t="s">
        <v>109</v>
      </c>
      <c r="T3" s="36" t="s">
        <v>148</v>
      </c>
      <c r="U3" s="35" t="s">
        <v>149</v>
      </c>
      <c r="V3" s="35" t="s">
        <v>110</v>
      </c>
    </row>
    <row r="4" spans="1:22" hidden="1" x14ac:dyDescent="0.25">
      <c r="A4" s="37">
        <v>1</v>
      </c>
      <c r="B4" s="15" t="s">
        <v>150</v>
      </c>
      <c r="C4" s="15"/>
      <c r="D4" s="15"/>
      <c r="E4" s="16" t="s">
        <v>151</v>
      </c>
      <c r="F4" s="37">
        <v>5</v>
      </c>
      <c r="G4" s="15" t="s">
        <v>152</v>
      </c>
      <c r="H4" s="15"/>
      <c r="I4" s="15"/>
      <c r="J4" s="16" t="s">
        <v>153</v>
      </c>
      <c r="L4" s="38" t="s">
        <v>153</v>
      </c>
      <c r="M4" s="38" t="s">
        <v>154</v>
      </c>
      <c r="N4" s="38">
        <v>6000</v>
      </c>
      <c r="O4" s="38">
        <v>100</v>
      </c>
      <c r="P4" s="39">
        <f>+N4+O4</f>
        <v>6100</v>
      </c>
      <c r="Q4" s="38">
        <v>800</v>
      </c>
      <c r="R4" s="38">
        <v>700</v>
      </c>
      <c r="S4" s="38">
        <v>100</v>
      </c>
      <c r="T4" s="40">
        <f>+P4-R4</f>
        <v>5400</v>
      </c>
      <c r="U4" s="38">
        <f>+R4-S4</f>
        <v>600</v>
      </c>
      <c r="V4" s="38">
        <f>+S4</f>
        <v>100</v>
      </c>
    </row>
    <row r="5" spans="1:22" ht="30" hidden="1" x14ac:dyDescent="0.25">
      <c r="A5" s="37">
        <v>2</v>
      </c>
      <c r="B5" s="15" t="s">
        <v>155</v>
      </c>
      <c r="C5" s="15"/>
      <c r="D5" s="15"/>
      <c r="E5" s="16" t="s">
        <v>156</v>
      </c>
      <c r="F5" s="37">
        <v>6</v>
      </c>
      <c r="G5" s="15" t="s">
        <v>157</v>
      </c>
      <c r="H5" s="15"/>
      <c r="I5" s="15"/>
      <c r="J5" s="16" t="s">
        <v>158</v>
      </c>
      <c r="O5" t="s">
        <v>159</v>
      </c>
      <c r="V5" s="41" t="s">
        <v>160</v>
      </c>
    </row>
    <row r="6" spans="1:22" ht="15.75" hidden="1" thickBot="1" x14ac:dyDescent="0.3">
      <c r="A6" s="42">
        <v>3</v>
      </c>
      <c r="B6" s="18" t="s">
        <v>161</v>
      </c>
      <c r="C6" s="18"/>
      <c r="D6" s="18"/>
      <c r="E6" s="19"/>
      <c r="F6" s="37">
        <v>7</v>
      </c>
      <c r="G6" s="15" t="s">
        <v>162</v>
      </c>
      <c r="H6" s="15"/>
      <c r="I6" s="15"/>
      <c r="J6" s="16" t="s">
        <v>163</v>
      </c>
      <c r="O6" t="s">
        <v>164</v>
      </c>
    </row>
    <row r="7" spans="1:22" hidden="1" x14ac:dyDescent="0.25">
      <c r="F7" s="37">
        <v>8</v>
      </c>
      <c r="G7" s="15" t="s">
        <v>165</v>
      </c>
      <c r="H7" s="15"/>
      <c r="I7" s="15"/>
      <c r="J7" s="16"/>
      <c r="O7" t="s">
        <v>166</v>
      </c>
    </row>
    <row r="8" spans="1:22" ht="15.75" hidden="1" thickBot="1" x14ac:dyDescent="0.3">
      <c r="F8" s="42">
        <v>9</v>
      </c>
      <c r="G8" s="18" t="s">
        <v>167</v>
      </c>
      <c r="H8" s="18"/>
      <c r="I8" s="18"/>
      <c r="J8" s="19"/>
    </row>
    <row r="10" spans="1:22" x14ac:dyDescent="0.25">
      <c r="C10" s="1" t="s">
        <v>168</v>
      </c>
    </row>
    <row r="11" spans="1:22" x14ac:dyDescent="0.25">
      <c r="A11" s="43" t="s">
        <v>169</v>
      </c>
    </row>
    <row r="12" spans="1:22" x14ac:dyDescent="0.25">
      <c r="A12" s="44">
        <v>1</v>
      </c>
      <c r="B12" t="s">
        <v>170</v>
      </c>
      <c r="I12" s="1" t="s">
        <v>171</v>
      </c>
      <c r="J12" t="s">
        <v>172</v>
      </c>
    </row>
    <row r="13" spans="1:22" x14ac:dyDescent="0.25">
      <c r="A13" s="44">
        <v>2</v>
      </c>
      <c r="B13" t="s">
        <v>173</v>
      </c>
      <c r="J13" s="1" t="s">
        <v>174</v>
      </c>
      <c r="K13" t="s">
        <v>172</v>
      </c>
    </row>
    <row r="14" spans="1:22" x14ac:dyDescent="0.25">
      <c r="A14" s="44">
        <v>62</v>
      </c>
      <c r="B14" t="s">
        <v>138</v>
      </c>
    </row>
    <row r="15" spans="1:22" x14ac:dyDescent="0.25">
      <c r="A15" s="44">
        <v>63</v>
      </c>
      <c r="B15" t="s">
        <v>140</v>
      </c>
    </row>
    <row r="16" spans="1:22" x14ac:dyDescent="0.25">
      <c r="A16" s="44">
        <v>91</v>
      </c>
      <c r="B16" t="s">
        <v>175</v>
      </c>
    </row>
    <row r="17" spans="1:15" x14ac:dyDescent="0.25">
      <c r="A17" s="44">
        <v>92</v>
      </c>
      <c r="B17" t="s">
        <v>176</v>
      </c>
    </row>
    <row r="22" spans="1:15" x14ac:dyDescent="0.25">
      <c r="B22">
        <v>111</v>
      </c>
      <c r="C22" t="s">
        <v>177</v>
      </c>
      <c r="I22" t="s">
        <v>179</v>
      </c>
      <c r="L22" t="s">
        <v>180</v>
      </c>
      <c r="N22" t="s">
        <v>181</v>
      </c>
    </row>
    <row r="23" spans="1:15" x14ac:dyDescent="0.25">
      <c r="B23" s="45">
        <v>111.03</v>
      </c>
      <c r="C23" t="s">
        <v>178</v>
      </c>
      <c r="H23" t="s">
        <v>199</v>
      </c>
      <c r="N23" t="s">
        <v>200</v>
      </c>
    </row>
    <row r="24" spans="1:15" x14ac:dyDescent="0.25">
      <c r="B24" s="45">
        <v>111.15</v>
      </c>
      <c r="C24" t="s">
        <v>182</v>
      </c>
    </row>
    <row r="25" spans="1:15" x14ac:dyDescent="0.25">
      <c r="B25">
        <v>112</v>
      </c>
      <c r="C25" t="s">
        <v>183</v>
      </c>
      <c r="H25" s="1" t="s">
        <v>184</v>
      </c>
      <c r="N25" s="1" t="s">
        <v>185</v>
      </c>
    </row>
    <row r="26" spans="1:15" x14ac:dyDescent="0.25">
      <c r="B26" t="s">
        <v>70</v>
      </c>
      <c r="C26" t="s">
        <v>186</v>
      </c>
      <c r="I26" t="s">
        <v>187</v>
      </c>
    </row>
    <row r="27" spans="1:15" x14ac:dyDescent="0.25">
      <c r="B27" t="s">
        <v>188</v>
      </c>
      <c r="C27" t="s">
        <v>189</v>
      </c>
      <c r="I27">
        <v>113</v>
      </c>
      <c r="J27" t="s">
        <v>121</v>
      </c>
      <c r="M27">
        <v>111</v>
      </c>
      <c r="N27" t="s">
        <v>122</v>
      </c>
    </row>
    <row r="28" spans="1:15" x14ac:dyDescent="0.25">
      <c r="B28" t="s">
        <v>190</v>
      </c>
      <c r="C28" t="s">
        <v>191</v>
      </c>
      <c r="J28">
        <v>62</v>
      </c>
      <c r="K28" t="s">
        <v>124</v>
      </c>
      <c r="N28">
        <v>113</v>
      </c>
      <c r="O28" t="s">
        <v>121</v>
      </c>
    </row>
    <row r="29" spans="1:15" x14ac:dyDescent="0.25">
      <c r="B29">
        <v>113</v>
      </c>
      <c r="C29" t="s">
        <v>194</v>
      </c>
    </row>
    <row r="30" spans="1:15" x14ac:dyDescent="0.25">
      <c r="I30" s="28">
        <v>113.19</v>
      </c>
      <c r="M30">
        <v>111.03</v>
      </c>
    </row>
    <row r="31" spans="1:15" x14ac:dyDescent="0.25">
      <c r="J31" s="46" t="s">
        <v>192</v>
      </c>
      <c r="L31" t="s">
        <v>193</v>
      </c>
      <c r="N31" s="28">
        <v>113.19</v>
      </c>
    </row>
    <row r="32" spans="1:15" x14ac:dyDescent="0.25">
      <c r="I32" t="s">
        <v>195</v>
      </c>
    </row>
    <row r="33" spans="9:15" x14ac:dyDescent="0.25">
      <c r="I33" t="s">
        <v>196</v>
      </c>
    </row>
    <row r="34" spans="9:15" x14ac:dyDescent="0.25">
      <c r="J34">
        <v>213</v>
      </c>
    </row>
    <row r="36" spans="9:15" x14ac:dyDescent="0.25">
      <c r="J36" s="46" t="s">
        <v>197</v>
      </c>
      <c r="L36" t="s">
        <v>198</v>
      </c>
      <c r="N36" s="24">
        <v>213.51</v>
      </c>
    </row>
    <row r="37" spans="9:15" x14ac:dyDescent="0.25">
      <c r="K37" s="24">
        <v>213.51</v>
      </c>
      <c r="O37">
        <v>111.03</v>
      </c>
    </row>
  </sheetData>
  <mergeCells count="4">
    <mergeCell ref="L1:V1"/>
    <mergeCell ref="A2:H2"/>
    <mergeCell ref="B3:E3"/>
    <mergeCell ref="G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selection activeCell="G15" sqref="G15"/>
    </sheetView>
  </sheetViews>
  <sheetFormatPr baseColWidth="10" defaultRowHeight="15" x14ac:dyDescent="0.25"/>
  <cols>
    <col min="6" max="6" width="15.28515625" customWidth="1"/>
  </cols>
  <sheetData>
    <row r="1" spans="1:15" x14ac:dyDescent="0.25">
      <c r="A1" s="1" t="s">
        <v>17</v>
      </c>
      <c r="H1" s="50" t="s">
        <v>29</v>
      </c>
      <c r="I1" s="50"/>
    </row>
    <row r="2" spans="1:15" x14ac:dyDescent="0.25">
      <c r="A2">
        <v>6</v>
      </c>
      <c r="B2" t="s">
        <v>23</v>
      </c>
      <c r="E2" s="1" t="s">
        <v>74</v>
      </c>
      <c r="F2" t="s">
        <v>75</v>
      </c>
      <c r="H2" s="6" t="s">
        <v>18</v>
      </c>
      <c r="I2" t="s">
        <v>62</v>
      </c>
    </row>
    <row r="3" spans="1:15" x14ac:dyDescent="0.25">
      <c r="A3">
        <v>3</v>
      </c>
      <c r="B3" t="s">
        <v>24</v>
      </c>
      <c r="F3" t="s">
        <v>76</v>
      </c>
      <c r="H3" s="6" t="s">
        <v>19</v>
      </c>
      <c r="I3" s="5" t="s">
        <v>64</v>
      </c>
      <c r="O3" t="s">
        <v>63</v>
      </c>
    </row>
    <row r="4" spans="1:15" x14ac:dyDescent="0.25">
      <c r="A4">
        <v>4</v>
      </c>
      <c r="B4" t="s">
        <v>25</v>
      </c>
      <c r="H4" s="6" t="s">
        <v>20</v>
      </c>
      <c r="I4" t="s">
        <v>69</v>
      </c>
    </row>
    <row r="5" spans="1:15" x14ac:dyDescent="0.25">
      <c r="A5">
        <v>8</v>
      </c>
      <c r="B5" t="s">
        <v>26</v>
      </c>
      <c r="H5" s="6" t="s">
        <v>21</v>
      </c>
      <c r="I5" t="s">
        <v>73</v>
      </c>
    </row>
    <row r="6" spans="1:15" x14ac:dyDescent="0.25">
      <c r="A6">
        <v>2</v>
      </c>
      <c r="B6" t="s">
        <v>27</v>
      </c>
      <c r="H6" s="6" t="s">
        <v>22</v>
      </c>
      <c r="I6" t="s">
        <v>77</v>
      </c>
    </row>
    <row r="8" spans="1:15" x14ac:dyDescent="0.25">
      <c r="A8" t="s">
        <v>28</v>
      </c>
      <c r="B8" t="s">
        <v>47</v>
      </c>
    </row>
    <row r="9" spans="1:15" x14ac:dyDescent="0.25">
      <c r="A9" t="s">
        <v>48</v>
      </c>
      <c r="C9" t="s">
        <v>49</v>
      </c>
      <c r="D9" s="3" t="s">
        <v>57</v>
      </c>
    </row>
    <row r="10" spans="1:15" x14ac:dyDescent="0.25">
      <c r="E10" s="1" t="s">
        <v>80</v>
      </c>
      <c r="F10" s="1"/>
      <c r="H10" s="1" t="s">
        <v>30</v>
      </c>
    </row>
    <row r="11" spans="1:15" x14ac:dyDescent="0.25">
      <c r="C11" t="s">
        <v>51</v>
      </c>
      <c r="D11" s="3" t="s">
        <v>58</v>
      </c>
      <c r="E11" s="1" t="s">
        <v>81</v>
      </c>
      <c r="F11" s="1"/>
      <c r="H11" t="s">
        <v>31</v>
      </c>
    </row>
    <row r="12" spans="1:15" x14ac:dyDescent="0.25">
      <c r="H12" t="s">
        <v>32</v>
      </c>
    </row>
    <row r="13" spans="1:15" x14ac:dyDescent="0.25">
      <c r="C13" t="s">
        <v>54</v>
      </c>
      <c r="D13" s="3" t="s">
        <v>59</v>
      </c>
      <c r="H13" t="s">
        <v>35</v>
      </c>
    </row>
    <row r="14" spans="1:15" x14ac:dyDescent="0.25">
      <c r="H14" t="s">
        <v>33</v>
      </c>
    </row>
    <row r="15" spans="1:15" x14ac:dyDescent="0.25">
      <c r="C15" t="s">
        <v>55</v>
      </c>
      <c r="D15" s="3" t="s">
        <v>60</v>
      </c>
      <c r="H15" t="s">
        <v>34</v>
      </c>
    </row>
    <row r="16" spans="1:15" x14ac:dyDescent="0.25">
      <c r="H16" t="s">
        <v>36</v>
      </c>
    </row>
    <row r="17" spans="2:15" x14ac:dyDescent="0.25">
      <c r="B17" t="s">
        <v>61</v>
      </c>
      <c r="H17" t="s">
        <v>37</v>
      </c>
    </row>
    <row r="18" spans="2:15" ht="15.75" thickBot="1" x14ac:dyDescent="0.3">
      <c r="B18" t="s">
        <v>83</v>
      </c>
      <c r="G18" s="50" t="s">
        <v>66</v>
      </c>
      <c r="H18" s="50"/>
      <c r="I18" s="50"/>
      <c r="J18" s="50"/>
      <c r="K18" s="50"/>
    </row>
    <row r="19" spans="2:15" x14ac:dyDescent="0.25">
      <c r="B19" t="s">
        <v>84</v>
      </c>
      <c r="G19" s="55" t="s">
        <v>205</v>
      </c>
      <c r="H19" s="56"/>
      <c r="I19" s="13"/>
      <c r="J19" s="55" t="s">
        <v>68</v>
      </c>
      <c r="K19" s="56"/>
      <c r="L19" s="20"/>
      <c r="M19" s="55" t="s">
        <v>72</v>
      </c>
      <c r="N19" s="56"/>
      <c r="O19" s="20"/>
    </row>
    <row r="20" spans="2:15" x14ac:dyDescent="0.25">
      <c r="G20" s="14" t="s">
        <v>28</v>
      </c>
      <c r="H20" s="15">
        <v>700</v>
      </c>
      <c r="I20" s="16"/>
      <c r="J20" s="14" t="s">
        <v>65</v>
      </c>
      <c r="K20" s="15"/>
      <c r="L20" s="16"/>
      <c r="M20" s="14" t="s">
        <v>70</v>
      </c>
      <c r="N20" s="15"/>
      <c r="O20" s="16"/>
    </row>
    <row r="21" spans="2:15" ht="15.75" thickBot="1" x14ac:dyDescent="0.3">
      <c r="B21" t="s">
        <v>28</v>
      </c>
      <c r="G21" s="17"/>
      <c r="H21" s="18" t="s">
        <v>65</v>
      </c>
      <c r="I21" s="19">
        <v>700</v>
      </c>
      <c r="J21" s="17"/>
      <c r="K21" s="18">
        <v>111.03</v>
      </c>
      <c r="L21" s="19"/>
      <c r="M21" s="17"/>
      <c r="N21" s="18" t="s">
        <v>71</v>
      </c>
      <c r="O21" s="19"/>
    </row>
    <row r="22" spans="2:15" ht="15.75" thickBot="1" x14ac:dyDescent="0.3"/>
    <row r="23" spans="2:15" ht="15.75" thickBot="1" x14ac:dyDescent="0.3">
      <c r="M23" s="21">
        <v>634</v>
      </c>
      <c r="N23" s="22"/>
      <c r="O23" s="20"/>
    </row>
    <row r="24" spans="2:15" ht="15.75" thickBot="1" x14ac:dyDescent="0.3">
      <c r="G24" s="55" t="s">
        <v>206</v>
      </c>
      <c r="H24" s="56"/>
      <c r="I24" s="20"/>
      <c r="M24" s="17"/>
      <c r="N24" s="18">
        <v>125</v>
      </c>
      <c r="O24" s="19"/>
    </row>
    <row r="25" spans="2:15" x14ac:dyDescent="0.25">
      <c r="G25" s="14" t="s">
        <v>28</v>
      </c>
      <c r="H25" s="15">
        <v>-700</v>
      </c>
      <c r="I25" s="16"/>
    </row>
    <row r="26" spans="2:15" ht="15.75" thickBot="1" x14ac:dyDescent="0.3">
      <c r="G26" s="17"/>
      <c r="H26" s="18" t="s">
        <v>65</v>
      </c>
      <c r="I26" s="19">
        <v>-700</v>
      </c>
    </row>
    <row r="27" spans="2:15" ht="15.75" thickBot="1" x14ac:dyDescent="0.3"/>
    <row r="28" spans="2:15" x14ac:dyDescent="0.25">
      <c r="G28" s="55" t="s">
        <v>207</v>
      </c>
      <c r="H28" s="56"/>
      <c r="I28" s="20"/>
    </row>
    <row r="29" spans="2:15" x14ac:dyDescent="0.25">
      <c r="G29" s="14" t="s">
        <v>78</v>
      </c>
      <c r="H29" s="15"/>
      <c r="I29" s="16"/>
    </row>
    <row r="30" spans="2:15" ht="15.75" thickBot="1" x14ac:dyDescent="0.3">
      <c r="G30" s="17"/>
      <c r="H30" s="18" t="s">
        <v>79</v>
      </c>
      <c r="I30" s="19"/>
    </row>
  </sheetData>
  <mergeCells count="7">
    <mergeCell ref="M19:N19"/>
    <mergeCell ref="G24:H24"/>
    <mergeCell ref="G28:H28"/>
    <mergeCell ref="H1:I1"/>
    <mergeCell ref="G18:K18"/>
    <mergeCell ref="G19:H19"/>
    <mergeCell ref="J19:K1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tabSelected="1" workbookViewId="0">
      <selection activeCell="C9" sqref="C9"/>
    </sheetView>
  </sheetViews>
  <sheetFormatPr baseColWidth="10" defaultRowHeight="15" x14ac:dyDescent="0.25"/>
  <cols>
    <col min="5" max="5" width="15.7109375" customWidth="1"/>
    <col min="7" max="7" width="17.28515625" customWidth="1"/>
  </cols>
  <sheetData>
    <row r="1" spans="1:16" x14ac:dyDescent="0.25">
      <c r="A1" t="s">
        <v>85</v>
      </c>
      <c r="J1" s="7" t="s">
        <v>88</v>
      </c>
      <c r="K1" t="s">
        <v>89</v>
      </c>
      <c r="N1" t="s">
        <v>208</v>
      </c>
    </row>
    <row r="2" spans="1:16" x14ac:dyDescent="0.25">
      <c r="A2">
        <v>112.03</v>
      </c>
      <c r="B2" s="4" t="s">
        <v>86</v>
      </c>
      <c r="E2">
        <v>6700</v>
      </c>
      <c r="J2" t="s">
        <v>90</v>
      </c>
    </row>
    <row r="3" spans="1:16" x14ac:dyDescent="0.25">
      <c r="C3">
        <v>111.03</v>
      </c>
      <c r="D3" s="4" t="s">
        <v>87</v>
      </c>
      <c r="H3">
        <v>6700</v>
      </c>
      <c r="J3" t="s">
        <v>91</v>
      </c>
    </row>
    <row r="4" spans="1:16" x14ac:dyDescent="0.25">
      <c r="J4">
        <v>112</v>
      </c>
      <c r="N4" s="1" t="s">
        <v>128</v>
      </c>
    </row>
    <row r="5" spans="1:16" x14ac:dyDescent="0.25">
      <c r="N5" t="s">
        <v>127</v>
      </c>
    </row>
    <row r="6" spans="1:16" x14ac:dyDescent="0.25">
      <c r="A6" s="27" t="s">
        <v>92</v>
      </c>
      <c r="J6" s="7" t="s">
        <v>95</v>
      </c>
      <c r="K6" s="8" t="s">
        <v>96</v>
      </c>
      <c r="N6" t="s">
        <v>126</v>
      </c>
    </row>
    <row r="7" spans="1:16" x14ac:dyDescent="0.25">
      <c r="A7" s="2" t="s">
        <v>93</v>
      </c>
      <c r="B7" t="s">
        <v>94</v>
      </c>
      <c r="D7" t="s">
        <v>100</v>
      </c>
      <c r="E7">
        <v>23000</v>
      </c>
      <c r="J7" t="s">
        <v>101</v>
      </c>
    </row>
    <row r="8" spans="1:16" x14ac:dyDescent="0.25">
      <c r="C8" s="10" t="s">
        <v>99</v>
      </c>
      <c r="D8" t="s">
        <v>98</v>
      </c>
      <c r="I8">
        <v>23000</v>
      </c>
      <c r="N8" s="26" t="s">
        <v>125</v>
      </c>
      <c r="O8" s="26"/>
    </row>
    <row r="9" spans="1:16" x14ac:dyDescent="0.25">
      <c r="N9">
        <v>113</v>
      </c>
      <c r="O9" t="s">
        <v>121</v>
      </c>
    </row>
    <row r="10" spans="1:16" x14ac:dyDescent="0.25">
      <c r="A10" s="27" t="s">
        <v>102</v>
      </c>
      <c r="O10">
        <v>62</v>
      </c>
      <c r="P10" t="s">
        <v>124</v>
      </c>
    </row>
    <row r="11" spans="1:16" x14ac:dyDescent="0.25">
      <c r="A11" s="2" t="s">
        <v>103</v>
      </c>
      <c r="B11" t="s">
        <v>104</v>
      </c>
      <c r="D11" t="s">
        <v>105</v>
      </c>
      <c r="E11">
        <v>450</v>
      </c>
    </row>
    <row r="12" spans="1:16" x14ac:dyDescent="0.25">
      <c r="C12" s="12" t="s">
        <v>78</v>
      </c>
      <c r="D12" t="s">
        <v>106</v>
      </c>
      <c r="I12">
        <v>450</v>
      </c>
      <c r="N12" s="25" t="s">
        <v>123</v>
      </c>
      <c r="O12" s="25"/>
    </row>
    <row r="13" spans="1:16" x14ac:dyDescent="0.25">
      <c r="K13" s="6"/>
      <c r="L13" s="6"/>
      <c r="N13">
        <v>111</v>
      </c>
      <c r="O13" t="s">
        <v>122</v>
      </c>
    </row>
    <row r="14" spans="1:16" x14ac:dyDescent="0.25">
      <c r="A14" s="24" t="s">
        <v>107</v>
      </c>
      <c r="O14">
        <v>113</v>
      </c>
      <c r="P14" t="s">
        <v>121</v>
      </c>
    </row>
    <row r="15" spans="1:16" x14ac:dyDescent="0.25">
      <c r="A15" s="9" t="s">
        <v>97</v>
      </c>
      <c r="B15" t="s">
        <v>98</v>
      </c>
      <c r="G15">
        <v>23000</v>
      </c>
    </row>
    <row r="16" spans="1:16" x14ac:dyDescent="0.25">
      <c r="B16">
        <v>111.03</v>
      </c>
      <c r="C16" s="4" t="s">
        <v>87</v>
      </c>
      <c r="H16">
        <v>23000</v>
      </c>
      <c r="K16" s="23" t="s">
        <v>67</v>
      </c>
      <c r="L16" t="s">
        <v>119</v>
      </c>
    </row>
    <row r="17" spans="1:12" x14ac:dyDescent="0.25">
      <c r="K17" s="24" t="s">
        <v>68</v>
      </c>
      <c r="L17" t="s">
        <v>120</v>
      </c>
    </row>
    <row r="18" spans="1:12" x14ac:dyDescent="0.25">
      <c r="A18" s="24" t="s">
        <v>108</v>
      </c>
    </row>
    <row r="19" spans="1:12" x14ac:dyDescent="0.25">
      <c r="A19" s="11" t="s">
        <v>78</v>
      </c>
      <c r="B19" t="s">
        <v>106</v>
      </c>
      <c r="G19">
        <v>450</v>
      </c>
    </row>
    <row r="20" spans="1:12" x14ac:dyDescent="0.25">
      <c r="B20">
        <v>111.03</v>
      </c>
      <c r="C20" s="4" t="s">
        <v>87</v>
      </c>
      <c r="H20">
        <v>450</v>
      </c>
    </row>
    <row r="22" spans="1:12" x14ac:dyDescent="0.25">
      <c r="A22" t="s">
        <v>111</v>
      </c>
    </row>
    <row r="23" spans="1:12" x14ac:dyDescent="0.25">
      <c r="A23" s="2" t="s">
        <v>112</v>
      </c>
      <c r="B23" s="4" t="s">
        <v>113</v>
      </c>
      <c r="F23" t="s">
        <v>115</v>
      </c>
    </row>
    <row r="24" spans="1:12" x14ac:dyDescent="0.25">
      <c r="B24" s="2" t="s">
        <v>114</v>
      </c>
      <c r="C24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primero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Victoria Nathaly Guerra Vega</cp:lastModifiedBy>
  <dcterms:created xsi:type="dcterms:W3CDTF">2022-04-28T17:58:23Z</dcterms:created>
  <dcterms:modified xsi:type="dcterms:W3CDTF">2024-04-30T20:51:58Z</dcterms:modified>
</cp:coreProperties>
</file>