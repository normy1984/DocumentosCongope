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congopegobec-my.sharepoint.com/personal/jdelgado_congope_gob_ec1/Documents/TALENTO HUMANO/EVALUACION PERSONAL/"/>
    </mc:Choice>
  </mc:AlternateContent>
  <xr:revisionPtr revIDLastSave="50" documentId="8_{1A8DBF53-03AB-4D9B-9DBE-B01475E2CA0C}" xr6:coauthVersionLast="47" xr6:coauthVersionMax="47" xr10:uidLastSave="{916F6F4B-68B0-4EEE-82D8-F786A61F0C25}"/>
  <workbookProtection workbookAlgorithmName="SHA-512" workbookHashValue="PrHgO/b0hOKX00p6bSiDdpww8yCMybnM5ZUQnrjU740yDc0oSwc/nhHp8lfiJcaiDn2RKYrMYaTd5ZG8uyR9MQ==" workbookSaltValue="XpMcH/IxJT0tBZyMU6CSXA==" workbookSpinCount="100000" lockStructure="1"/>
  <bookViews>
    <workbookView xWindow="-120" yWindow="-120" windowWidth="20730" windowHeight="11040" tabRatio="500" xr2:uid="{00000000-000D-0000-FFFF-FFFF00000000}"/>
  </bookViews>
  <sheets>
    <sheet name="Hoja1" sheetId="1" r:id="rId1"/>
    <sheet name="Hoja2" sheetId="2" state="hidden" r:id="rId2"/>
    <sheet name="Hoja4" sheetId="3" state="hidden" r:id="rId3"/>
    <sheet name="Hoja5" sheetId="4" state="hidden" r:id="rId4"/>
    <sheet name="Hoja6" sheetId="5" state="hidden" r:id="rId5"/>
  </sheets>
  <definedNames>
    <definedName name="_xlnm._FilterDatabase" localSheetId="2" hidden="1">Hoja4!$A$1:$J$416</definedName>
    <definedName name="_xlnm.Print_Area" localSheetId="0">Hoja1!$A$1:$F$57</definedName>
    <definedName name="Excel_BuiltIn__FilterDatabase" localSheetId="3">Hoja5!$A$1:$J$431</definedName>
    <definedName name="Excel_BuiltIn_Print_Area" localSheetId="0">Hoja1!$F$1:$J$8</definedName>
    <definedName name="_xlnm.Print_Titles" localSheetId="0">Hoja1!$1:$1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D24" i="1" l="1"/>
  <c r="D23" i="1"/>
  <c r="E46" i="1"/>
  <c r="B45" i="1" l="1"/>
  <c r="D41" i="1"/>
  <c r="D39" i="1"/>
  <c r="D38" i="1"/>
  <c r="D35" i="1"/>
  <c r="D34" i="1"/>
  <c r="D33" i="1"/>
  <c r="D32" i="1"/>
  <c r="D31" i="1"/>
  <c r="D30" i="1"/>
  <c r="D27" i="1"/>
  <c r="D26" i="1"/>
  <c r="D25" i="1"/>
  <c r="B46" i="1"/>
  <c r="E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2000000}">
      <text>
        <r>
          <rPr>
            <sz val="9"/>
            <rFont val="Arial"/>
            <family val="2"/>
            <charset val="1"/>
          </rPr>
          <t>Verbo en infinitivo + objeto</t>
        </r>
      </text>
    </comment>
    <comment ref="C8" authorId="0" shapeId="0" xr:uid="{00000000-0006-0000-0000-000005000000}">
      <text>
        <r>
          <rPr>
            <sz val="10"/>
            <rFont val="Arial"/>
            <family val="2"/>
            <charset val="1"/>
          </rPr>
          <t>In</t>
        </r>
        <r>
          <rPr>
            <sz val="8"/>
            <rFont val="Times New Roman"/>
            <family val="1"/>
            <charset val="1"/>
          </rPr>
          <t>strumento para monitorear, predecir y administrar el desempeño necesario para alcanzar una meta determinada</t>
        </r>
      </text>
    </comment>
    <comment ref="D8" authorId="0" shapeId="0" xr:uid="{00000000-0006-0000-0000-000009000000}">
      <text>
        <r>
          <rPr>
            <sz val="8"/>
            <color indexed="81"/>
            <rFont val="Times New Roman"/>
            <family val="1"/>
          </rPr>
          <t>Operación matemática o manera de calcular el indicador</t>
        </r>
      </text>
    </comment>
    <comment ref="E8" authorId="0" shapeId="0" xr:uid="{00000000-0006-0000-0000-00000A000000}">
      <text>
        <r>
          <rPr>
            <sz val="9"/>
            <rFont val="Arial"/>
            <family val="2"/>
            <charset val="1"/>
          </rPr>
          <t>Valor numérico</t>
        </r>
      </text>
    </comment>
    <comment ref="F8" authorId="0" shapeId="0" xr:uid="{00000000-0006-0000-0000-00000C000000}">
      <text>
        <r>
          <rPr>
            <sz val="9"/>
            <rFont val="Times New Roman"/>
            <family val="1"/>
            <charset val="1"/>
          </rPr>
          <t>Forma de evidenciar la ejecución de las actividades realizadas.</t>
        </r>
      </text>
    </comment>
    <comment ref="A14" authorId="0" shapeId="0" xr:uid="{00000000-0006-0000-0000-000003000000}">
      <text>
        <r>
          <rPr>
            <sz val="7"/>
            <color indexed="81"/>
            <rFont val="Times New Roman"/>
            <family val="1"/>
          </rPr>
          <t>Enlistar conocimientos requeridos para el cabal cumplimiento</t>
        </r>
      </text>
    </comment>
    <comment ref="E14" authorId="0" shapeId="0" xr:uid="{00000000-0006-0000-0000-00000B000000}">
      <text>
        <r>
          <rPr>
            <sz val="9"/>
            <rFont val="Times New Roman"/>
            <family val="1"/>
            <charset val="1"/>
          </rPr>
          <t>Escoger opción</t>
        </r>
      </text>
    </comment>
    <comment ref="A22" authorId="0" shapeId="0" xr:uid="{00000000-0006-0000-0000-000004000000}">
      <text>
        <r>
          <rPr>
            <sz val="9"/>
            <rFont val="Times New Roman"/>
            <family val="1"/>
            <charset val="1"/>
          </rPr>
          <t>Escoger opciones relacionadas a la ejecución de las actividades.</t>
        </r>
      </text>
    </comment>
    <comment ref="C22" authorId="0" shapeId="0" xr:uid="{00000000-0006-0000-0000-000006000000}">
      <text>
        <r>
          <rPr>
            <sz val="9"/>
            <rFont val="Times New Roman"/>
            <family val="1"/>
            <charset val="1"/>
          </rPr>
          <t>Escoger opción</t>
        </r>
      </text>
    </comment>
    <comment ref="C29" authorId="0" shapeId="0" xr:uid="{00000000-0006-0000-0000-000007000000}">
      <text>
        <r>
          <rPr>
            <sz val="9"/>
            <rFont val="Times New Roman"/>
            <family val="1"/>
            <charset val="1"/>
          </rPr>
          <t>Escoger opción</t>
        </r>
      </text>
    </comment>
    <comment ref="C37" authorId="0" shapeId="0" xr:uid="{00000000-0006-0000-0000-000008000000}">
      <text>
        <r>
          <rPr>
            <sz val="9"/>
            <rFont val="Times New Roman"/>
            <family val="1"/>
            <charset val="1"/>
          </rPr>
          <t>Escoger opción</t>
        </r>
      </text>
    </comment>
  </commentList>
</comments>
</file>

<file path=xl/sharedStrings.xml><?xml version="1.0" encoding="utf-8"?>
<sst xmlns="http://schemas.openxmlformats.org/spreadsheetml/2006/main" count="5294" uniqueCount="1559">
  <si>
    <t>UNIDAD ADMINISTRATIVA</t>
  </si>
  <si>
    <t>PUESTO INSTITUCIONAL</t>
  </si>
  <si>
    <t xml:space="preserve">No. CEDULA </t>
  </si>
  <si>
    <t>GRUPO OCUPACIONAL</t>
  </si>
  <si>
    <t>FECHA DEL FORMULARIO</t>
  </si>
  <si>
    <t>PERIODO DE EVALUACIÓN</t>
  </si>
  <si>
    <t>INDICADORES DE GESTIÓN DEL PUESTO</t>
  </si>
  <si>
    <t xml:space="preserve"> </t>
  </si>
  <si>
    <t>Descripción de Actividades</t>
  </si>
  <si>
    <t xml:space="preserve">Indicador </t>
  </si>
  <si>
    <t>Fórmula</t>
  </si>
  <si>
    <t>Meta del Período</t>
  </si>
  <si>
    <t xml:space="preserve">Medio de verificación </t>
  </si>
  <si>
    <t>CONOCIMIENTOS REQUERIDOS</t>
  </si>
  <si>
    <t>NIVEL REQUERIDO</t>
  </si>
  <si>
    <t>COMPETENCIAS TÉCNICAS DEL PUESTO</t>
  </si>
  <si>
    <t>Destrezas</t>
  </si>
  <si>
    <t>Relevancia</t>
  </si>
  <si>
    <t>Comportamiento Observable</t>
  </si>
  <si>
    <t>COMPETENCIAS CONDUCTUALES</t>
  </si>
  <si>
    <t>APRENDIZAJE CONTINUO</t>
  </si>
  <si>
    <t>CONOCIMIENTOS DEL ENTORNO ORGANIZACIONAL</t>
  </si>
  <si>
    <t>RELACIONES HUMANAS</t>
  </si>
  <si>
    <t>ACTITUD AL CAMBIO</t>
  </si>
  <si>
    <t>ORIENTACIÓN A LOS RESULTADOS</t>
  </si>
  <si>
    <t>ORIENTACIÓN DE SERVICIO</t>
  </si>
  <si>
    <t>TRABAJO EN EQUIPO, INICIATIVA Y LIDERAZGO</t>
  </si>
  <si>
    <t xml:space="preserve">Descripción  </t>
  </si>
  <si>
    <t>TRABAJO EN EQUIPO</t>
  </si>
  <si>
    <t>INICIATIVA</t>
  </si>
  <si>
    <t>LLENAR EL CAMPO DE LIDERAZGO, SOLO QUIENES TENGAN SERVIDORES SUBORDINADOS BAJO SU RESPONSABILIDAD DE GESTIÓN</t>
  </si>
  <si>
    <t>LIDERAZGO</t>
  </si>
  <si>
    <t>Nombre:</t>
  </si>
  <si>
    <t>No. Cédula:</t>
  </si>
  <si>
    <t>TITULAR DE LA UNIDAD ADMINISTRATIVA</t>
  </si>
  <si>
    <t>CATÁLOGO DE COMPETENCIAS TÉCNICAS DEL PUESTO</t>
  </si>
  <si>
    <t>DESTREZA HABILIDAD</t>
  </si>
  <si>
    <t>RELEVANCIA DEL COMPORTAMIENTO OBSERVABLE</t>
  </si>
  <si>
    <t>ALTA</t>
  </si>
  <si>
    <t>MEDIA</t>
  </si>
  <si>
    <t>BAJA</t>
  </si>
  <si>
    <t>Análisis de operaciones</t>
  </si>
  <si>
    <t>Identificar el sistema de control requerido por una nueva unidad organizacional</t>
  </si>
  <si>
    <t>Sugerir cambios en un programa de computación para que su uso resulte más fácil al usuario.</t>
  </si>
  <si>
    <t>Seleccionar un equipo para la oficina</t>
  </si>
  <si>
    <t>Comprensión escrita</t>
  </si>
  <si>
    <t xml:space="preserve">Lee y comprende documentos de alta complejidad. Elabora propuestas de solución o mejoramiento sobre la base del nivel de comprensión  </t>
  </si>
  <si>
    <t xml:space="preserve">Lee y comprende documentos de complejidad media, y posteriormente presenta informes. </t>
  </si>
  <si>
    <t xml:space="preserve">Lee y comprende la información sencilla que se le presenta en forma escrita y realiza las acciones pertinentes que indican el nivel de comprensión. </t>
  </si>
  <si>
    <t>Comprensión oral</t>
  </si>
  <si>
    <t>Comprende las ideas presentadas en forma oral en las reuniones de trabajo  y desarrolla propuestas en base a los requerimientos.</t>
  </si>
  <si>
    <t xml:space="preserve">Escucha y comprende los requerimientos de los usuario internos y externos y elabora informes. </t>
  </si>
  <si>
    <t>Escucha y comprende la información o disposiciones que se le provee y realiza las acciones pertinentes para el cumplimiento.</t>
  </si>
  <si>
    <t>Comprobación</t>
  </si>
  <si>
    <t xml:space="preserve">Realiza pruebas y ensayos de naturaleza compleja para comprobar si un nuevo sistema, equipo o procedimiento técnico - administrativo, funcionará correctamente.    Identifica claramente los errores y propone los correctivos </t>
  </si>
  <si>
    <t>Enciende máquinas o equipos por primera vez para verificar su funcionamiento. Constata la calidad de los productos.</t>
  </si>
  <si>
    <t>Verifica el funcionamiento de máquinas o equipos, frecuentemente.</t>
  </si>
  <si>
    <t>Desarrollo estratégico de los recursos humanos</t>
  </si>
  <si>
    <t>Realiza una proyección de posibles necesidades de recursos humanos considerando distintos escenarios a largo plazo. Tiene un papel activo en la definición de las políticas en función del análisis estratégico.</t>
  </si>
  <si>
    <t>Utiliza herramientas existentes o nuevas en la organización para el desarrollo de los colaboradores en función de las estrategias de la organización. Promueve acciones de desarrollo.</t>
  </si>
  <si>
    <t>Aplica las herramientas de desarrollo disponibles. Define acciones para el desarrollo de las competencias críticas. Esporádicamente hace un seguimiento de las mismas.</t>
  </si>
  <si>
    <t>Destreza matemática</t>
  </si>
  <si>
    <t xml:space="preserve">Desarrolla un modelo matemático para simular y resolver  problemas.  </t>
  </si>
  <si>
    <t xml:space="preserve">Utiliza las  matemáticas para realizar cálculos de complejidad media. (Ejemplo liquidaciones, conciliaciones bancarias, etc.) </t>
  </si>
  <si>
    <t>Contar dinero para entregar cambios.</t>
  </si>
  <si>
    <t>Detección de averías</t>
  </si>
  <si>
    <t>Detecta fallas en sistemas o equipos de alta complejidad de operación como por ejemplo, depurar el código de control de un nuevo sistema operativo.</t>
  </si>
  <si>
    <t>Identifica el circuito causante de una falla  eléctrica o de equipos o sistemas de operación compleja.</t>
  </si>
  <si>
    <t>Busca la fuente que ocasiona errores en la operación de máquinas, automóviles y otros equipos de operación sencilla.</t>
  </si>
  <si>
    <t>Diseño de tecnología</t>
  </si>
  <si>
    <t xml:space="preserve">Crea nueva tecnología. </t>
  </si>
  <si>
    <t xml:space="preserve">Diseña los mecanismos de implementación de nuevas tecnologías que permiten mejorar la gestión de la organización. </t>
  </si>
  <si>
    <t>Rediseña el portal Web institucional, base de datos y  otros para mejorar el acceso a la información.</t>
  </si>
  <si>
    <t>Expresión escrita</t>
  </si>
  <si>
    <t>Escribir documentos de complejidad alta, donde se establezcan parámetros que tengan impacto directo sobre el funcionamiento de una organización, proyectos u otros. Ejemplo (Informes de procesos legales, técnicos, administrativos)</t>
  </si>
  <si>
    <t>Escribir documentos de mediana complejidad, ejemplo (oficios, circulares)</t>
  </si>
  <si>
    <t xml:space="preserve">Escribir documentos sencillos en forma clara y concisa. Ejemplo (memorando) </t>
  </si>
  <si>
    <t>Expresión oral</t>
  </si>
  <si>
    <t xml:space="preserve">Expone  programas, proyectos y otros ante las autoridades  y personal de otras instituciones. </t>
  </si>
  <si>
    <t>Comunica información relevante. Organiza la información para que sea comprensible a los receptores.</t>
  </si>
  <si>
    <t xml:space="preserve">Comunica en forma clara y oportuna información sencilla. </t>
  </si>
  <si>
    <t>Generación de ideas</t>
  </si>
  <si>
    <t>Desarrolla planes, programas o proyectos alternativos para solucionar problemas estratégicos organizacionales.</t>
  </si>
  <si>
    <t>Desarrolla estrategias para la optimización de los recursos humanos, materiales y económicos.</t>
  </si>
  <si>
    <t>Encuentra procedimientos alternativos para apoyar en la entrega de productos o servicios a los usuarios.</t>
  </si>
  <si>
    <t>Habilidad analítica       (análisis de prioridad, criterio lógico, sentido común)</t>
  </si>
  <si>
    <t xml:space="preserve">Realiza análisis lógicos para identificar los problemas fundamentales de la organización. </t>
  </si>
  <si>
    <t>Reconoce la información significativa, busca y coordina los datos relevantes para el desarrollo de programas y proyectos.</t>
  </si>
  <si>
    <t xml:space="preserve">Presenta datos estadísticos y/o financieros. </t>
  </si>
  <si>
    <t>Identificación de problemas</t>
  </si>
  <si>
    <t xml:space="preserve">Identifica los problemas que impiden el cumplimiento de los objetivos y metas planteados en el plan operativo institucional y redefine las estrategias. </t>
  </si>
  <si>
    <t>Identifica los problemas en la entrega de los productos o servicios que genera la unidad o proceso</t>
  </si>
  <si>
    <t>Compara información sencilla para identificar problemas.</t>
  </si>
  <si>
    <t>Inspección de productos o servicios</t>
  </si>
  <si>
    <t>Establece procedimientos de control de calidad para los productos o servicios que genera la institución.</t>
  </si>
  <si>
    <t>Realiza el control de calidad de los informes técnicos, legales o administrativos para detectar errores. Incluye proponer ajustes.</t>
  </si>
  <si>
    <t>Chequea el borrador de un documento para detectar errores mecanográficos.</t>
  </si>
  <si>
    <t>Instalación</t>
  </si>
  <si>
    <t>Instala maquinarias, programas y equipos de alta complejidad.</t>
  </si>
  <si>
    <t xml:space="preserve">Instala cableados y equipos sencillos. </t>
  </si>
  <si>
    <t xml:space="preserve">Instala piezas sencillas de maquinarias, equipos y otros.  </t>
  </si>
  <si>
    <t>Instrucción</t>
  </si>
  <si>
    <t>Capacita a los colaboradores y compañeros de la institución</t>
  </si>
  <si>
    <t>Instruye sobre procedimientos técnicos, legales o administrativos a los compañeros de la unidad o proceso .</t>
  </si>
  <si>
    <t xml:space="preserve">Instruye a un compañero sobre la forma de operar un programa de computación. </t>
  </si>
  <si>
    <t>Juicio y toma de decisiones</t>
  </si>
  <si>
    <t>Toma decisiones de complejidad alta sobre la base de la misión y objetivos de la institución, y de la satisfacción del problema del usuario. Idea soluciones a problemáticas futuras de la institución.</t>
  </si>
  <si>
    <t xml:space="preserve">Toma decisiones de complejidad media sobre la base de sus conocimientos, de los productos o servicios de la unidad o proceso organizacional, y de la experiencia previa.  </t>
  </si>
  <si>
    <t>Toma decisiones de complejidad baja, las situaciones que se presentan permiten comparar patrones de hechos ocurridos con anterioridad.</t>
  </si>
  <si>
    <t>Manejo de recursos financieros</t>
  </si>
  <si>
    <t>Planifica y aprueba el presupuesto anual de una institución o de un proyecto a largo plazo. Incluye gestionar el financiamiento necesario.</t>
  </si>
  <si>
    <t>Prepara y maneja el presupuesto de un proyecto a corto plazo .</t>
  </si>
  <si>
    <t>Utiliza dinero de caja chica para adquirir suministros de oficina y lleva un registro de los gastos.</t>
  </si>
  <si>
    <t>Manejo de recursos materiales</t>
  </si>
  <si>
    <t>Evalúa los contratos de provisión de recursos materiales para la institución.</t>
  </si>
  <si>
    <t>Determina las necesidades de recursos materiales de la institución y controla el uso de los mismos.</t>
  </si>
  <si>
    <t xml:space="preserve">Provee y maneja recursos materiales para las distintas unidades o  procesos organizacionales, así como para determinados eventos. </t>
  </si>
  <si>
    <t>Mantenimiento de equipos</t>
  </si>
  <si>
    <t xml:space="preserve">Implementa programas de mantenimiento preventivo y correctivo. Determina el tipo de mantenimiento  que requieren los equipos  informáticos, maquinarias y otros de las unidades o procesos organizacionales. </t>
  </si>
  <si>
    <t>Depura y actualiza el software de los equipos informáticos. Incluye despejar las partes móviles de los equipos informáticos, maquinarias y otros.</t>
  </si>
  <si>
    <t>Realiza la limpieza de equipos computarizados,  fotocopiadoras y otros equipos.</t>
  </si>
  <si>
    <t>Monitoreo y control</t>
  </si>
  <si>
    <t xml:space="preserve">Desarrolla mecanismos de monitoreo y  control de la eficiencia, eficacia y productividad organizacional. </t>
  </si>
  <si>
    <t xml:space="preserve">Monitorea el progreso de los planes y proyectos de la unidad administrativa y asegura el cumplimiento de los mismos. </t>
  </si>
  <si>
    <t>Analiza y corrige documentos.</t>
  </si>
  <si>
    <t>Operación y control</t>
  </si>
  <si>
    <t>Controla la operación de los sistemas informáticos implementados en la institución. Establece ajustes a las fallas que presenten los sistemas.</t>
  </si>
  <si>
    <t>Opera los sistemas informáticos, redes y otros e implementa los ajustes para solucionar fallas en la operación de los mismos.</t>
  </si>
  <si>
    <t>Ajusta los controles de una máquina copiadora para lograr fotocopias de menor tamaño.</t>
  </si>
  <si>
    <t>Organización de la información</t>
  </si>
  <si>
    <t xml:space="preserve">Define niveles de información para la gestión de una unidad o proceso.  </t>
  </si>
  <si>
    <t xml:space="preserve">Clasifica y captura información técnica para consolidarlos. </t>
  </si>
  <si>
    <t>Clasifica documentos para su registro.</t>
  </si>
  <si>
    <t>Organización de sistemas</t>
  </si>
  <si>
    <t>Diseña o rediseña la estructura, los procesos organizacionales y las atribuciones y responsabilidades de los puestos de trabajo.</t>
  </si>
  <si>
    <t>Diseña o rediseña los procesos de elaboración de los productos o servicios  que generan las unidades organizacionales.</t>
  </si>
  <si>
    <t>Identifica el flujo de trabajo. Propone cambios para agilitar las actividades laborales.</t>
  </si>
  <si>
    <t>Orientación / asesoramiento</t>
  </si>
  <si>
    <t>Asesora a las autoridades de la institución en materia de su competencia, generando políticas y estrategias que permitan tomar decisiones acertadas.</t>
  </si>
  <si>
    <t>Ofrece guías a equipos de trabajo para el desarrollo de planes, programas y otros.</t>
  </si>
  <si>
    <t>Orienta a un compañero en la forma de realizar ciertas actividades de complejidad baja.</t>
  </si>
  <si>
    <t>Pensamiento analítico</t>
  </si>
  <si>
    <t xml:space="preserve"> Realiza análisis extremadamente complejos, organizando y  secuenciando  un problema o situación, estableciendo causas de hecho, o varias consecuencias de acción. Anticipa los obstáculos y planifica los siguientes pasos.</t>
  </si>
  <si>
    <t xml:space="preserve">Establece relaciones causales sencillas para descomponer  los problemas o situaciones en partes. Identifica los pros y los contras de las decisiones. Analiza información  sencilla. </t>
  </si>
  <si>
    <t>Realiza una lista de asuntos a tratar asignando un orden o prioridad determinados. Establece prioridades en las actividades que realiza.</t>
  </si>
  <si>
    <t>Pensamiento conceptual</t>
  </si>
  <si>
    <t>Desarrolla conceptos nuevos para solucionar conflictos o para el desarrollo de proyectos, planes organizacionales y otros . Hace que las situaciones o ideas complejas estén claras, sean simples y comprensibles. Integra ideas, datos clave y observaciones, presentándolos en forma clara y útil.</t>
  </si>
  <si>
    <t xml:space="preserve">Analiza situaciones presentes utilizando los conocimientos teóricos o adquiridos con la experiencia. Utiliza y adapta los conceptos o principios adquiridos  para solucionar problemas en la ejecución de programas, proyectos y otros. </t>
  </si>
  <si>
    <t xml:space="preserve">Utiliza conceptos básicos, sentido común y la experiencias vividas en la solución de problemas inherentes al desarrollo de las actividades del puesto. </t>
  </si>
  <si>
    <t>Pensamiento crítico</t>
  </si>
  <si>
    <t xml:space="preserve">Analiza,  determina y cuestiona la viabilidad de aplicación de leyes, reglamentos, normas, sistemas  y otros, aplicando la lógica. </t>
  </si>
  <si>
    <t xml:space="preserve">Elabora reportes jurídicos, técnicos o administrativos  aplicando el análisis y la lógica. </t>
  </si>
  <si>
    <t>Discrimina y prioriza entre las actividades asignadas aplicando la lógica.</t>
  </si>
  <si>
    <t>Pensamiento estratégico</t>
  </si>
  <si>
    <t>Comprende rápidamente los cambios del entorno, las oportunidades, amenazas, fortalezas y debilidades de su organización / unidad o proceso/ proyecto y establece directrices estratégicas para la aprobación de planes, programas y otros.</t>
  </si>
  <si>
    <t>Comprende los cambios del entorno y esta en la capacidad de proponer planes  y programas de mejoramiento continuo.</t>
  </si>
  <si>
    <t>Puede adecuarse a los cambios y participa en el desarrollo de planes y  programas de mejoramiento continuo.</t>
  </si>
  <si>
    <t>Percepción de sistemas y entorno</t>
  </si>
  <si>
    <t>Identifica la manera en cómo un cambio de leyes o de situaciones distintas afectará a la organización.</t>
  </si>
  <si>
    <t>Identifica situaciones que pueden alterar el desenvolvimiento normal de los colaboradores de una unidad o proceso organizacional. Implica la habilidad de observar y aprovechar los comportamientos de los colaboradores y compañeros.</t>
  </si>
  <si>
    <t xml:space="preserve">Identifica cómo una discusión entre los miembros de un equipo de trabajo podría alterar el trabajo del día. </t>
  </si>
  <si>
    <t>Planificación y gestión</t>
  </si>
  <si>
    <t xml:space="preserve">Anticipa los puntos críticos de una situación o problema, desarrollando estrategias a largo plazo, acciones de control,  mecanismos de coordinación y  verificando información para la aprobación de diferentes proyectos, programas y otros.     Es capaz de administrar simultáneamente diversos proyectos complejos.  </t>
  </si>
  <si>
    <t>Es capaz de administrar simultáneamente diversos proyectos de complejidad media, estableciendo estrategias de corto y mediano plazo, mecanismos de coordinación y control de la información.</t>
  </si>
  <si>
    <t>Establece objetivos y plazos para la realización de las tareas o actividades, define prioridades, controlando la calidad del trabajo y verificando la información para asegurarse de que se han ejecutado las acciones previstas.</t>
  </si>
  <si>
    <t>Recopilación de información</t>
  </si>
  <si>
    <t>Pone en marcha personalmente sistemas o prácticas que permiten recoger información esencial de forma habitual (ejemplo reuniones informales periódicas). Analiza la información recopilada.</t>
  </si>
  <si>
    <t>Realiza un trabajo sistemático en un determinado lapso de tiempo para obtener la máxima y mejor información posible de todas las fuentes disponibles. (Obtiene información en periódicos, bases de datos, estudios técnicos etc.)</t>
  </si>
  <si>
    <t xml:space="preserve">Busca información con un objetivo concreto a través de preguntas rutinarias. </t>
  </si>
  <si>
    <t>Reparación</t>
  </si>
  <si>
    <t>Repara los daños de maquinarias, equipos y otros, realizando una inspección previa.</t>
  </si>
  <si>
    <t>Reemplaza las piezas deterioradas de maquinarias, equipos y otros</t>
  </si>
  <si>
    <t xml:space="preserve">Ajusta las piezas sencillas de maquinarias, equipos y otros.  </t>
  </si>
  <si>
    <t xml:space="preserve">Selección de equipos  </t>
  </si>
  <si>
    <t>Identifica el equipo necesario que debe adquirir una institución para cumplir con los planes, programas y proyectos.</t>
  </si>
  <si>
    <t xml:space="preserve">Escoge un nuevo programa informático para la automatización de ciertas actividades. </t>
  </si>
  <si>
    <t>Selecciona los instrumentos necesarios para una reunión de trabajo.</t>
  </si>
  <si>
    <t>CATÁLOGO DE COMPETENCIAS UNIVERSALES DEL PUESTO</t>
  </si>
  <si>
    <t>Realiza trabajos de investigación que comparte con sus compañeros. Comparte sus conocimientos y experiencias actuando como agente de cambio y propagador de nuevas ideas y tecnologías.</t>
  </si>
  <si>
    <t>Mantiene su formación técnica. Realiza un gran esfuerzo por adquirir nuevas habilidades y conocimientos.</t>
  </si>
  <si>
    <t>Busca información sólo cuando la necesita, lee manuales, libros y otros, para aumentar sus conocimientos básicos.</t>
  </si>
  <si>
    <t>Identifica las razones que motivan determinados comportamientos en los grupos de trabajo, los problemas de fondo de las unidades o procesos, oportunidades o fuerzas de poder que los afectan.</t>
  </si>
  <si>
    <t>Identifica, describe y utiliza las relaciones de poder e influencia existentes dentro de la institución, con un sentido claro de lo que es incluir en la institución.</t>
  </si>
  <si>
    <t>Utiliza las normas, la cadena de mando y los procedimientos establecidos para cumplir con sus responsabilidades. Responde a requerimientos explícitos.</t>
  </si>
  <si>
    <t>Construye relaciones beneficiosas para el usuario externo y la institución, que le permiten alcanzar los objetivos organizacionales. Identifica y crea nuevas oportunidades en beneficio de la institución.</t>
  </si>
  <si>
    <t>Construye relaciones, tanto fuera como dentro de la institución que le proveen información. Establece un ambiente cordial con personas desconocidas, desde el primer encuentro</t>
  </si>
  <si>
    <t>Entabla relaciones a nivel laboral. Inicia y mantiene relaciones sociales con compañeros, usuarios y proveedores.</t>
  </si>
  <si>
    <t>Modifica las acciones para responder a los cambios organizacionales o de prioridades. Propone mejoras para la institución.</t>
  </si>
  <si>
    <t>Modifica su comportamiento para adaptarse a la situación o a las personas. Decide qué hacer en función de la situación.</t>
  </si>
  <si>
    <t>Aplica normas que dependen a cada situación o procedimientos para cumplir con sus responsabilidades</t>
  </si>
  <si>
    <t>Realiza las acciones necesarias para cumplir con las metas propuestas. Desarrolla o modifica procesos organizacionales que contribuyan a mejorar la eficiencia.</t>
  </si>
  <si>
    <t>Modifica los métodos de trabajo para conseguir mejoras. Actúa para lograr y superar niveles de desempeño y plazos establecidos.</t>
  </si>
  <si>
    <t>Realiza bien o correctamente su trabajo.</t>
  </si>
  <si>
    <t>Demuestra interés en atender a los usuarios internos y externos con rapidez, diagnostica correctamente la necesidad y plantea soluciones adecuadas.</t>
  </si>
  <si>
    <t>Identifica las necesidades del usuario interno o externo.</t>
  </si>
  <si>
    <t>Actúa a partir de los requerimientos de los usuarios ofreciendo respuestas estandarizadas a sus demandas.</t>
  </si>
  <si>
    <t>CATÁLOGO DE TRABAJO EN EQUIPO E INICIATIVA DEL PUESTO</t>
  </si>
  <si>
    <t>Crea un buen clima de trabajo y espíritu de cooperación. Resuelve los conflictos que se puedan producir dentro del equipo. Se considera que es un referente en el manejo de equipos de trabajo. Promueve de trabajo en equipo con otra áreas de la organización.</t>
  </si>
  <si>
    <t>Promueve la colaboración de los distintos integrantes del equipos. Valora sinceramente las ideas y experiencias de los demás.</t>
  </si>
  <si>
    <t>Coopera. Participa activamente en el equipo, apoya las decisiones. Realiza la parte del trabajo que le corresponde. Como miembro de un equipo, mantiene informados a los demás. Comparte información.</t>
  </si>
  <si>
    <t>Se anticipa a las situaciones con una visión a largo plazo.</t>
  </si>
  <si>
    <t>Se adelanta y se prepara para los acontecimientos que pueden ocurrir a corto plazo. Crea oportunidades o minimiza problemas potenciales. Aplica distintas formas de trabajo con una visión de mediano plazo.</t>
  </si>
  <si>
    <t>Reconoce las oportunidades o problemas del momento. Cuestiona las formas convencionales de trabajar.</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</si>
  <si>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</si>
  <si>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</si>
  <si>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en su equipo de trabajo para generar comunicación, confianza y compromiso a través del ejemplo y servicio para el logro de objetivos comunes.</t>
  </si>
  <si>
    <t>Cédula</t>
  </si>
  <si>
    <t>Nombre</t>
  </si>
  <si>
    <t>Dependencia</t>
  </si>
  <si>
    <t>Tipo de Empleado</t>
  </si>
  <si>
    <t>Cargo</t>
  </si>
  <si>
    <t>PUESTO</t>
  </si>
  <si>
    <t>RMU</t>
  </si>
  <si>
    <t>Fecha Ingreso Institución</t>
  </si>
  <si>
    <t>Autoridad</t>
  </si>
  <si>
    <t>cc. Autoridad</t>
  </si>
  <si>
    <t>1710632876</t>
  </si>
  <si>
    <t>Granja Londoño Andrés Felipe</t>
  </si>
  <si>
    <t>GESTIÓN PROTOCOLAR-COORDINACIÓN GENERAL DE PROTOCOLO</t>
  </si>
  <si>
    <t>Contrato</t>
  </si>
  <si>
    <t>Servidor Legislativo 13</t>
  </si>
  <si>
    <t>Especialista Senior de Protocolo</t>
  </si>
  <si>
    <t>Alicia Cumandá Peláez López</t>
  </si>
  <si>
    <t>1708618986</t>
  </si>
  <si>
    <t>1709722530</t>
  </si>
  <si>
    <t>Jarrín Farias Rommel Avel</t>
  </si>
  <si>
    <t>Nombramiento</t>
  </si>
  <si>
    <t>Asistente de Administración 1</t>
  </si>
  <si>
    <t>1708013006</t>
  </si>
  <si>
    <t>Ledesma León Galo Roberto</t>
  </si>
  <si>
    <t>Asistente de Administración 3</t>
  </si>
  <si>
    <t>1720678489</t>
  </si>
  <si>
    <t>Logroño Navarro Andrea Salomé</t>
  </si>
  <si>
    <t>Servidor Legislativo 12</t>
  </si>
  <si>
    <t>Especialista Junior de Protocolo</t>
  </si>
  <si>
    <t>1705403754</t>
  </si>
  <si>
    <t>Salme Arroyo Gladys Fernanda</t>
  </si>
  <si>
    <t>Técnico en Administración 1</t>
  </si>
  <si>
    <t>1101437265</t>
  </si>
  <si>
    <t>Tandazo Quichimbo Miria Madrid</t>
  </si>
  <si>
    <t>COORDINACIÓN GENERAL DE PROTOCOLO</t>
  </si>
  <si>
    <t>Secretaria Ejecutiva 4</t>
  </si>
  <si>
    <t>1102912589</t>
  </si>
  <si>
    <t>Villavicencio Villavicencio Jimena Alexandra</t>
  </si>
  <si>
    <t>Técnico en Administración 4</t>
  </si>
  <si>
    <t>0201736253</t>
  </si>
  <si>
    <t>Aguiar Aranda José Luis</t>
  </si>
  <si>
    <t>GESTIÓN DE SERVICIOS ADMINISTRATIVOS-COORDINACIÓN GENERAL ADMINISTRATIVA</t>
  </si>
  <si>
    <t>Servidor Legislativo 2</t>
  </si>
  <si>
    <t>Conductor Administrativo</t>
  </si>
  <si>
    <t>Carlos Eduardo Meza Delgado</t>
  </si>
  <si>
    <t>0801531039</t>
  </si>
  <si>
    <t>1102528039</t>
  </si>
  <si>
    <t>Alvarez Ortíz María Teresa</t>
  </si>
  <si>
    <t>Secretaria Ejecutiva 5</t>
  </si>
  <si>
    <t>0922704952</t>
  </si>
  <si>
    <t>Alvarez Salas  Blanca Lissette</t>
  </si>
  <si>
    <t>Supervisor de Servicios Generales</t>
  </si>
  <si>
    <t>1721077764</t>
  </si>
  <si>
    <t>Arandi Chuqui María Elena</t>
  </si>
  <si>
    <t>Servidor Legislativo 5</t>
  </si>
  <si>
    <t>Asistente de Servicios Generales</t>
  </si>
  <si>
    <t>1726741547</t>
  </si>
  <si>
    <t>Arauz López Jocelyn Jamileth</t>
  </si>
  <si>
    <t>Servidor Legislativo 4</t>
  </si>
  <si>
    <t>Oficinista</t>
  </si>
  <si>
    <t>1711301729</t>
  </si>
  <si>
    <t>Arguello Miño Patricio Renato</t>
  </si>
  <si>
    <t>GESTIÓN DE INFRAESTRUCTURA-COORDINACIÓN GENERAL ADMINISTRATIVA</t>
  </si>
  <si>
    <t>Servidor Legislativo 10</t>
  </si>
  <si>
    <t>Administrador de Edificio</t>
  </si>
  <si>
    <t>1717834418</t>
  </si>
  <si>
    <t>Armas Bastidas Carla Renata</t>
  </si>
  <si>
    <t>GESTIÓN DE COMPRAS PÚBLICAS-COORDINACIÓN GENERAL ADMINISTRATIVA</t>
  </si>
  <si>
    <t>Especialista Junior de Compras Públicas</t>
  </si>
  <si>
    <t>1705015582</t>
  </si>
  <si>
    <t>Baquero Naranjo Jannet Alexandra</t>
  </si>
  <si>
    <t>1715283295</t>
  </si>
  <si>
    <t>Barragan Custode Roberto Esteban</t>
  </si>
  <si>
    <t>Servidor Legislativo 11</t>
  </si>
  <si>
    <t>Especialista Junior de Infraestructura</t>
  </si>
  <si>
    <t>0802145011</t>
  </si>
  <si>
    <t>Bazán Charcopa Gregorio Antonio</t>
  </si>
  <si>
    <t>1704861804</t>
  </si>
  <si>
    <t>Bonilla Mora Luis Alberto</t>
  </si>
  <si>
    <t>Asistente Legislativo 1</t>
  </si>
  <si>
    <t>1722061056</t>
  </si>
  <si>
    <t>Bustos Vega Alejandro Francel</t>
  </si>
  <si>
    <t>Operador de Cámaras de Seguridad</t>
  </si>
  <si>
    <t>0603883521</t>
  </si>
  <si>
    <t>Cabezas Correa Alex Benjamin</t>
  </si>
  <si>
    <t>1708221161</t>
  </si>
  <si>
    <t>Calderón Villacis Raimont Xavier</t>
  </si>
  <si>
    <t>1709805137</t>
  </si>
  <si>
    <t>Cárdenas Troya Rosa Jeanneth</t>
  </si>
  <si>
    <t>Técnico Legislativo 4</t>
  </si>
  <si>
    <t>1102915095</t>
  </si>
  <si>
    <t>Castro Mesias</t>
  </si>
  <si>
    <t>Auxiliar de Servicios Generales 3</t>
  </si>
  <si>
    <t>1709547382</t>
  </si>
  <si>
    <t>Chala Arce Hector Medardo</t>
  </si>
  <si>
    <t>Servidor Legislativo 1</t>
  </si>
  <si>
    <t>Mensajero</t>
  </si>
  <si>
    <t>1002941126</t>
  </si>
  <si>
    <t>Chicaiza Valle Milton Darwin</t>
  </si>
  <si>
    <t>1304904947</t>
  </si>
  <si>
    <t>Conforme Rodríguez  Carlos Alberto</t>
  </si>
  <si>
    <t>1102334420</t>
  </si>
  <si>
    <t>Coronel Vásconez Patricio Fernando</t>
  </si>
  <si>
    <t>1716334972</t>
  </si>
  <si>
    <t>Cueva Ojeda  José Saúl</t>
  </si>
  <si>
    <t>0602967994</t>
  </si>
  <si>
    <t>Daquilema Roldán Fausto Hugo</t>
  </si>
  <si>
    <t>1717305658</t>
  </si>
  <si>
    <t>Domínguez Flores Pedro Sebastián</t>
  </si>
  <si>
    <t>Operador de Camaras de Seguridad</t>
  </si>
  <si>
    <t>1706727920</t>
  </si>
  <si>
    <t>Egas Ramírez Juan Carlos</t>
  </si>
  <si>
    <t>1001804903</t>
  </si>
  <si>
    <t>Erazo Valdospinos Henry Hernán</t>
  </si>
  <si>
    <t>Auxiliar de Servicios Generales 1</t>
  </si>
  <si>
    <t>1001072261</t>
  </si>
  <si>
    <t>Espinosa Escalante Juan Carlos</t>
  </si>
  <si>
    <t>Auxiliar Administrativo 3</t>
  </si>
  <si>
    <t>0201052834</t>
  </si>
  <si>
    <t>Espinoza Verdezoto  César Gabriel</t>
  </si>
  <si>
    <t>Auxiliar Administrativo 1</t>
  </si>
  <si>
    <t>1723668651</t>
  </si>
  <si>
    <t>Falconi Hidalgo Johanna Stefany</t>
  </si>
  <si>
    <t>COORDINACIÓN GENERAL ADMINISTRATIVA</t>
  </si>
  <si>
    <t>1707190730</t>
  </si>
  <si>
    <t>Félix Enríquez Luis Alfredo</t>
  </si>
  <si>
    <t>1101961330</t>
  </si>
  <si>
    <t>Fernández Álvarez Clipton Bladimir</t>
  </si>
  <si>
    <t>1711709160</t>
  </si>
  <si>
    <t>Galiano Padilla Alfredo Leonardo</t>
  </si>
  <si>
    <t>Servidor Legislativo 14</t>
  </si>
  <si>
    <t>Líder de Compras Públicas</t>
  </si>
  <si>
    <t>1705550349</t>
  </si>
  <si>
    <t>Gallegos Reinoso José Patricio</t>
  </si>
  <si>
    <t>Auxiliar de Servicios Generales 4</t>
  </si>
  <si>
    <t>1001358603</t>
  </si>
  <si>
    <t>Garcés Morales Hugo Gustavo</t>
  </si>
  <si>
    <t>1707458913</t>
  </si>
  <si>
    <t>Garcés Muñoz Carlos Alfredo</t>
  </si>
  <si>
    <t>Asistente de Administración 2</t>
  </si>
  <si>
    <t>1717827487</t>
  </si>
  <si>
    <t>Guaigua Chicaiza Alex Marcelo</t>
  </si>
  <si>
    <t>1706693528</t>
  </si>
  <si>
    <t>Guerrero Espín Edison Edmundo</t>
  </si>
  <si>
    <t>Analista Legislativo 1</t>
  </si>
  <si>
    <t>1704905445</t>
  </si>
  <si>
    <t>Guerrero Gómez Alberto Gustavo</t>
  </si>
  <si>
    <t>Especialista Senior de Infraestructura</t>
  </si>
  <si>
    <t>1801378058</t>
  </si>
  <si>
    <t>Haro Aguirre Segundo Gonzalo</t>
  </si>
  <si>
    <t>1001094299</t>
  </si>
  <si>
    <t>Herrera Yépez Milton Germán</t>
  </si>
  <si>
    <t>Asistente de Administración 4</t>
  </si>
  <si>
    <t>1755875133</t>
  </si>
  <si>
    <t>Hidalgo Zurita Martín Leonardo</t>
  </si>
  <si>
    <t>1719024554</t>
  </si>
  <si>
    <t>Iglesias Ramírez Christian Paúl</t>
  </si>
  <si>
    <t>Especialista Senior de Compras Publicas</t>
  </si>
  <si>
    <t>1721038691</t>
  </si>
  <si>
    <t>Jeton Almagro Ximena Geovanna</t>
  </si>
  <si>
    <t>Supervisor de Pasajes</t>
  </si>
  <si>
    <t>1400307680</t>
  </si>
  <si>
    <t>Lituma Serrano Mónica Judith</t>
  </si>
  <si>
    <t>Secretaria Ejecutiva 3</t>
  </si>
  <si>
    <t>1720502390</t>
  </si>
  <si>
    <t>Martínez Gordillo Christian Mauricio</t>
  </si>
  <si>
    <t>GESTIÓN DE BIENES Y EXISTENCIAS-COORDINACIÓN GENERAL ADMINISTRATIVA</t>
  </si>
  <si>
    <t>Auxiliar de Bienes</t>
  </si>
  <si>
    <t>1708745557</t>
  </si>
  <si>
    <t>Martínez Wilson Henry</t>
  </si>
  <si>
    <t>0503495632</t>
  </si>
  <si>
    <t>Medina Toapanta Diego Oswaldo</t>
  </si>
  <si>
    <t>Auxiliar de Bodega de Bienes</t>
  </si>
  <si>
    <t>1704713658</t>
  </si>
  <si>
    <t>Mena Aguilera Edison Luis</t>
  </si>
  <si>
    <t>1002036885</t>
  </si>
  <si>
    <t>Mena Guerrero Jorge Raul</t>
  </si>
  <si>
    <t>1311892762</t>
  </si>
  <si>
    <t>Meza Cevallos Roxana Elizabeth</t>
  </si>
  <si>
    <t>Especialista de Servicios Generales</t>
  </si>
  <si>
    <t>1723033609</t>
  </si>
  <si>
    <t>Minda Chalá Mayra Cristina</t>
  </si>
  <si>
    <t>1716812589</t>
  </si>
  <si>
    <t>Moncayo Flores Marcelo Vinicio</t>
  </si>
  <si>
    <t>1711469864</t>
  </si>
  <si>
    <t>Morales Calvopiña Santiago Alexis</t>
  </si>
  <si>
    <t>1710056027</t>
  </si>
  <si>
    <t>Moscoso Cedeño Miguel Emilio</t>
  </si>
  <si>
    <t>Servidor Legislativo 9</t>
  </si>
  <si>
    <t>Analista de Bienes</t>
  </si>
  <si>
    <t>1705122651</t>
  </si>
  <si>
    <t>Muñoz Mantilla Patricio Nicólas</t>
  </si>
  <si>
    <t>0400681813</t>
  </si>
  <si>
    <t>Narváez Sánchez Milton Emilio</t>
  </si>
  <si>
    <t>1704869823</t>
  </si>
  <si>
    <t>Naula Laines Segundo José</t>
  </si>
  <si>
    <t>1103806459</t>
  </si>
  <si>
    <t>Novillo Vivanco Carlos Andres</t>
  </si>
  <si>
    <t>0700873490</t>
  </si>
  <si>
    <t>Ochoa Martínez Mariana de Jesús</t>
  </si>
  <si>
    <t>1706697008</t>
  </si>
  <si>
    <t>Ortíz González Edgar Guillermo</t>
  </si>
  <si>
    <t>1722703715</t>
  </si>
  <si>
    <t>Pachacama Quezada Marco Antonio</t>
  </si>
  <si>
    <t>0501264154</t>
  </si>
  <si>
    <t>Palacios Tapia Manuel Ernesto</t>
  </si>
  <si>
    <t>0502348402</t>
  </si>
  <si>
    <t>Pastuña Suntasig Hugo René</t>
  </si>
  <si>
    <t>1003316716</t>
  </si>
  <si>
    <t>Perachimba Chicaiza José Fausto</t>
  </si>
  <si>
    <t>Jardinero</t>
  </si>
  <si>
    <t>1717191108</t>
  </si>
  <si>
    <t>Proaño Vélez Andrea Sulay</t>
  </si>
  <si>
    <t>1708717556</t>
  </si>
  <si>
    <t>Quiñonez Gómez Victor Juan Eduardo</t>
  </si>
  <si>
    <t>1003087549</t>
  </si>
  <si>
    <t>Rea Espín Edison Geovanny</t>
  </si>
  <si>
    <t>1720295425</t>
  </si>
  <si>
    <t>Regalado Egas Marco Vinicio</t>
  </si>
  <si>
    <t>1715194880</t>
  </si>
  <si>
    <t>Reinoso Peñaloza Jonathan Alan</t>
  </si>
  <si>
    <t>1001106358</t>
  </si>
  <si>
    <t>Ruiz Grijalva Hugo Alfredo</t>
  </si>
  <si>
    <t>1304842725</t>
  </si>
  <si>
    <t>Sabando Párraga Vicente Liborio</t>
  </si>
  <si>
    <t>Técnico Legislativo 1</t>
  </si>
  <si>
    <t>1707324875</t>
  </si>
  <si>
    <t>Salazar Tafur Rommel Patricio</t>
  </si>
  <si>
    <t>Auxiliar de Mantenimiento 4</t>
  </si>
  <si>
    <t>0603222720</t>
  </si>
  <si>
    <t>Samaniego Moreno Alvaro Hernan</t>
  </si>
  <si>
    <t>1708835531</t>
  </si>
  <si>
    <t>San Andrés Coello Jeaneth Virginia</t>
  </si>
  <si>
    <t>0501636260</t>
  </si>
  <si>
    <t>Sánchez Sánchez Augusto Gonzalo</t>
  </si>
  <si>
    <t>1002456711</t>
  </si>
  <si>
    <t>Torres Reina Edwin Ramiro</t>
  </si>
  <si>
    <t>Supervisor de Transporte</t>
  </si>
  <si>
    <t>1717467086</t>
  </si>
  <si>
    <t>Tufiño Ambas Paúl Abel</t>
  </si>
  <si>
    <t>1708271927</t>
  </si>
  <si>
    <t>Ushiña Onofa Luis Rodolfo</t>
  </si>
  <si>
    <t>Operador de Cuadrilla</t>
  </si>
  <si>
    <t>1104140163</t>
  </si>
  <si>
    <t>Valarezo Carpio Mariuxi Soraya</t>
  </si>
  <si>
    <t>1714028709</t>
  </si>
  <si>
    <t>Vargas Sarango Galo Vinicio</t>
  </si>
  <si>
    <t>1801418474</t>
  </si>
  <si>
    <t>Villegas Ramos Luis Oswaldo</t>
  </si>
  <si>
    <t>Chofer 3</t>
  </si>
  <si>
    <t>1718005349</t>
  </si>
  <si>
    <t>Vinueza Mena Christian Javier</t>
  </si>
  <si>
    <t>1719995142</t>
  </si>
  <si>
    <t>Yánez Alcoser Verónica Alexandra</t>
  </si>
  <si>
    <t>1309559431</t>
  </si>
  <si>
    <t>Zambrano García Roberto Carlos</t>
  </si>
  <si>
    <t>1312681081</t>
  </si>
  <si>
    <t>Zambrano Sánchez Miguel Angel</t>
  </si>
  <si>
    <t>Cerrajero</t>
  </si>
  <si>
    <t>1205912817</t>
  </si>
  <si>
    <t>Alvarado Muñoz Tatiana Marlene</t>
  </si>
  <si>
    <t>GESTIÓN DE PLANIFICACIÓN Y EVALUACIÓN INSTITUCIONAL-COORDINACIÓN GENERAL DE PLANIFICACIÓN</t>
  </si>
  <si>
    <t>Líder de Planificación y Evaluación Institucional</t>
  </si>
  <si>
    <t>Efrén Oscar Bravo Guamán</t>
  </si>
  <si>
    <t>1715798649</t>
  </si>
  <si>
    <t>1707313886</t>
  </si>
  <si>
    <t>Andrade Ramos Edgar Mauricio</t>
  </si>
  <si>
    <t>Especialista Senior de Planificacion y Evaluacion Institucional</t>
  </si>
  <si>
    <t>1001592060</t>
  </si>
  <si>
    <t>Ayala Ayala Karcia Jacqueline</t>
  </si>
  <si>
    <t>Analista de Administración 1</t>
  </si>
  <si>
    <t>0800363475</t>
  </si>
  <si>
    <t>Cadena Gaspar José Pablo</t>
  </si>
  <si>
    <t>Analista de Recursos Humanos 1</t>
  </si>
  <si>
    <t>1714506373</t>
  </si>
  <si>
    <t>Coba Coba Dieguis Juvenal</t>
  </si>
  <si>
    <t>GESTIÓN DE PROCESOS Y CALIDAD-COORDINACIÓN GENERAL DE PLANIFICACIÓN</t>
  </si>
  <si>
    <t>Especialista Junior de Procesos y Calidad</t>
  </si>
  <si>
    <t>0911161149</t>
  </si>
  <si>
    <t>Flores Bayas Ana Cecilia</t>
  </si>
  <si>
    <t>0501171946</t>
  </si>
  <si>
    <t>Freire Tapia Fausto Fabian</t>
  </si>
  <si>
    <t>COORDINACIÓN GENERAL DE PLANIFICACIÓN</t>
  </si>
  <si>
    <t>Servidor Legislativo 8</t>
  </si>
  <si>
    <t>1711951382</t>
  </si>
  <si>
    <t>Landazuri Montalvo Maria Veronica</t>
  </si>
  <si>
    <t>1309780326</t>
  </si>
  <si>
    <t>Larrea Jara Marcia Beatriz</t>
  </si>
  <si>
    <t>1708189350</t>
  </si>
  <si>
    <t>Minda Minda Erlin Simonidis</t>
  </si>
  <si>
    <t>0101600179</t>
  </si>
  <si>
    <t>Mora Espinoza Flavio Enrique</t>
  </si>
  <si>
    <t>0701862047</t>
  </si>
  <si>
    <t>Novillo Marianita de Lourdes</t>
  </si>
  <si>
    <t>Técnico Legislativo 2</t>
  </si>
  <si>
    <t>1706576053</t>
  </si>
  <si>
    <t>Rivera Jarrín Juan Carlos</t>
  </si>
  <si>
    <t>1719290890</t>
  </si>
  <si>
    <t>Villacis Aguilar María Fernanda</t>
  </si>
  <si>
    <t>Lider de Procesos y Calidad</t>
  </si>
  <si>
    <t>1721907978</t>
  </si>
  <si>
    <t>Aguirre Peñafiel Evelyn Carolina</t>
  </si>
  <si>
    <t>GESTIÓN DE CONTENIDOS-COORDINACIÓN GENERAL DE COMUNICACIÓN INSTITUCIONAL</t>
  </si>
  <si>
    <t>Técnico de Acceso a la Información</t>
  </si>
  <si>
    <t>Gonzalo Patricio Vivas Pérez</t>
  </si>
  <si>
    <t>1706385984</t>
  </si>
  <si>
    <t>1709720138</t>
  </si>
  <si>
    <t>Armas Castro Myrian del Rocío</t>
  </si>
  <si>
    <t>Secretaria Ejecutiva 2</t>
  </si>
  <si>
    <t>1712982006</t>
  </si>
  <si>
    <t>Armas Grijalva Darwin Santiago</t>
  </si>
  <si>
    <t>Fotógrafo/a</t>
  </si>
  <si>
    <t>1704173366</t>
  </si>
  <si>
    <t>Bolaños Moscoso Wagner Enrique</t>
  </si>
  <si>
    <t>Auxiliar Administrativo 4</t>
  </si>
  <si>
    <t>1002664124</t>
  </si>
  <si>
    <t>Cadena López Marco Vinicio</t>
  </si>
  <si>
    <t>Periodista</t>
  </si>
  <si>
    <t>0200437994</t>
  </si>
  <si>
    <t>Caiza Caiza José</t>
  </si>
  <si>
    <t>Traductor</t>
  </si>
  <si>
    <t>1003519285</t>
  </si>
  <si>
    <t>Dávila Cadena Ana Karen</t>
  </si>
  <si>
    <t>GESTIÓN DE IMAGEN INSTITUCIONAL-COORDINACIÓN GENERAL DE COMUNICACIÓN INSTITUCIONAL</t>
  </si>
  <si>
    <t>Ilustrador/a Gráfico</t>
  </si>
  <si>
    <t>1710245562</t>
  </si>
  <si>
    <t>Espinosa Armas Victor Omar</t>
  </si>
  <si>
    <t>1715403182</t>
  </si>
  <si>
    <t>García Moya Carlos Andrés</t>
  </si>
  <si>
    <t>1718067299</t>
  </si>
  <si>
    <t>González Esparza Ruth Gabriela</t>
  </si>
  <si>
    <t>1706480975</t>
  </si>
  <si>
    <t>Gordón González Mario Fernando</t>
  </si>
  <si>
    <t>Comunicador Social 1</t>
  </si>
  <si>
    <t>0602314361</t>
  </si>
  <si>
    <t>Guanolema Curicama César</t>
  </si>
  <si>
    <t>1709038077</t>
  </si>
  <si>
    <t>Guevara Estrella  Edison Vinicio</t>
  </si>
  <si>
    <t>Profesional Analista</t>
  </si>
  <si>
    <t>0401382445</t>
  </si>
  <si>
    <t>Hernández García Eudocia Del Carmen</t>
  </si>
  <si>
    <t>COORDINACIÓN GENERAL DE COMUNICACIÓN INSTITUCIONAL</t>
  </si>
  <si>
    <t>Mensajero/a</t>
  </si>
  <si>
    <t>1721650594</t>
  </si>
  <si>
    <t>Játiva Maldonado David Alejandro</t>
  </si>
  <si>
    <t>Técnico de impresión</t>
  </si>
  <si>
    <t>1715436687</t>
  </si>
  <si>
    <t>Mantilla Orellana Maria Julia</t>
  </si>
  <si>
    <t>Supervisor/a de Relaciones Publicas</t>
  </si>
  <si>
    <t>0102713237</t>
  </si>
  <si>
    <t>Matute Placencia Ivan Ramiro</t>
  </si>
  <si>
    <t>Servidor Legislativo 15</t>
  </si>
  <si>
    <t>Experto de Comunicacion Institucional</t>
  </si>
  <si>
    <t>0401347315</t>
  </si>
  <si>
    <t>Mejía Caguasango Liliana Alexandra</t>
  </si>
  <si>
    <t>0501583108</t>
  </si>
  <si>
    <t>Morales Galo Aladino</t>
  </si>
  <si>
    <t>1704388964</t>
  </si>
  <si>
    <t>Moscoso Obando Julio Enrique</t>
  </si>
  <si>
    <t>1713148672</t>
  </si>
  <si>
    <t>Moya Pardo Luis Alexander</t>
  </si>
  <si>
    <t>Diseñador Gráfico</t>
  </si>
  <si>
    <t>1717630675</t>
  </si>
  <si>
    <t>Ormaza Macias Javier Alejandro</t>
  </si>
  <si>
    <t>0502788193</t>
  </si>
  <si>
    <t>Pazmiño Miranda Luisa Noemi</t>
  </si>
  <si>
    <t>1711280725</t>
  </si>
  <si>
    <t>Pinto Paredes Margarita Alexandra</t>
  </si>
  <si>
    <t>1304663337</t>
  </si>
  <si>
    <t>Saltos Alvarado Narciza Rosa Lidia</t>
  </si>
  <si>
    <t>1708164122</t>
  </si>
  <si>
    <t>Velásquez Nicolalde Jeanette Lucía</t>
  </si>
  <si>
    <t>1717535635</t>
  </si>
  <si>
    <t>Zuñiga Romero Maria Cristina</t>
  </si>
  <si>
    <t>Servidor Legislativo 16</t>
  </si>
  <si>
    <t>Lider de Imagen Institucional</t>
  </si>
  <si>
    <t>1724449952</t>
  </si>
  <si>
    <t>Jarrin Fonseca Pamela Dayann</t>
  </si>
  <si>
    <t>GESTIÓN DE ADMINISTRACIÓN GENERAL</t>
  </si>
  <si>
    <t>Guadalupe de las Mercedes Estévez Naranjo</t>
  </si>
  <si>
    <t>1718198524</t>
  </si>
  <si>
    <t>Loza Albuja Nimia Guadalupe</t>
  </si>
  <si>
    <t>Comisión de Servicios</t>
  </si>
  <si>
    <t>Especialista Junior de Administración General</t>
  </si>
  <si>
    <t>1721827879</t>
  </si>
  <si>
    <t>Mazón Galarza Héctor Alejandro</t>
  </si>
  <si>
    <t>ADMINISTRACIÓN GENERAL</t>
  </si>
  <si>
    <t>1716474364</t>
  </si>
  <si>
    <t>Mena Noroña Verónica Catalina</t>
  </si>
  <si>
    <t>Analista de Gestión Documental</t>
  </si>
  <si>
    <t>1706095880</t>
  </si>
  <si>
    <t>Sandoval Jácome Mónica Elenita</t>
  </si>
  <si>
    <t>Técnico en Administración 3</t>
  </si>
  <si>
    <t>1714148341</t>
  </si>
  <si>
    <t>Zaza Vallejo Amira Janeth</t>
  </si>
  <si>
    <t>Analista Administrativo de Relaciones Interinstitucionales</t>
  </si>
  <si>
    <t>1721783692</t>
  </si>
  <si>
    <t>Acero Tipanluiza Daniel Teodoro</t>
  </si>
  <si>
    <t>GESTIÓN DE ANALISIS TÉCNICO LEGISLATIVO-UNIDAD DE TÉCNICA LEGISLATIVA</t>
  </si>
  <si>
    <t>Especialista de Analisis Técnico Legislativo</t>
  </si>
  <si>
    <t>Juan Carlos Rosero Paz</t>
  </si>
  <si>
    <t>0602119455</t>
  </si>
  <si>
    <t>1705601860</t>
  </si>
  <si>
    <t>Cusicagua Quingaluisa Luis Enrique</t>
  </si>
  <si>
    <t>Unidad de Técnica Legislativa</t>
  </si>
  <si>
    <t>0602494817</t>
  </si>
  <si>
    <t>Lema Gualli Raúl Angel</t>
  </si>
  <si>
    <t>Servidor Legislativo 18</t>
  </si>
  <si>
    <t>Líder de Análisis Técnico Legislativo</t>
  </si>
  <si>
    <t>1702406107</t>
  </si>
  <si>
    <t>Noboa Cruz Dalia María Angelica</t>
  </si>
  <si>
    <t>GESTIÓN DE ANALISIS TÉCNICO LINGUISTICO-UNIDAD DE TÉCNICA LEGISLATIVA</t>
  </si>
  <si>
    <t>Lider de Analisis Técnico Linguistico</t>
  </si>
  <si>
    <t>1716042690</t>
  </si>
  <si>
    <t>Pacheco Almeida Tatiana Patricia</t>
  </si>
  <si>
    <t>Especialista de Asesoramiento Técnico Legislativo</t>
  </si>
  <si>
    <t>0602460453</t>
  </si>
  <si>
    <t>Pazmiño Alomía Jorge Washington</t>
  </si>
  <si>
    <t>Especialista Senior de Analisis Técnico Legislativo</t>
  </si>
  <si>
    <t>0601630056</t>
  </si>
  <si>
    <t>Tonato Becerra Inés Beatriz</t>
  </si>
  <si>
    <t>1722637905</t>
  </si>
  <si>
    <t>Vallejo Briones Mayra Estefania</t>
  </si>
  <si>
    <t>0603275090</t>
  </si>
  <si>
    <t>Abdo Peralta Teófilo Enrique</t>
  </si>
  <si>
    <t>GESTIÓN DE ASESORÍA E INFORMACIÓN EN PROCESOS DE INVESTIGACIÓN Y RELACIONES INTERINSTITUCIONALES</t>
  </si>
  <si>
    <t>Especialista Junior de Relaciones Interinstitucionales</t>
  </si>
  <si>
    <t>Kevin Amaru Reinoso Peñaloza</t>
  </si>
  <si>
    <t>1724726862</t>
  </si>
  <si>
    <t>1304779455</t>
  </si>
  <si>
    <t>Chinga Blondet Marola Rosana</t>
  </si>
  <si>
    <t>COORDINACIÓN GENERAL DE RELACIONES INTERINSTITUCIONALES</t>
  </si>
  <si>
    <t>1310318884</t>
  </si>
  <si>
    <t>Lucas Sanclemente Martha Johana</t>
  </si>
  <si>
    <t>1716233083</t>
  </si>
  <si>
    <t>Adriano Moromenacho Darwin Fernando</t>
  </si>
  <si>
    <t>GESTIÓN DE SERVICIOS DE SOPORTE TECNOLÓGICO-COORD. GEN. DE TECNOLOGÍAS DE INFORMACIÓN Y COMUNICACIÓN</t>
  </si>
  <si>
    <t>Asistente de Servicios de Soporte Tecnológico</t>
  </si>
  <si>
    <t>Lenin Baltazar Campaña Jácome</t>
  </si>
  <si>
    <t>1802489623</t>
  </si>
  <si>
    <t>1804259909</t>
  </si>
  <si>
    <t>Arellano Vallejo Wagner Mauricio</t>
  </si>
  <si>
    <t>1003214564</t>
  </si>
  <si>
    <t>Benavides Ruano Lenin Bladimir</t>
  </si>
  <si>
    <t>1102044607</t>
  </si>
  <si>
    <t>Camacho Oña Jaime Eduardo</t>
  </si>
  <si>
    <t>GESTIÓN DE PROYECTOS Y DESARROLLO TECNOLÓGICO-COORD. GEN. DE TECNOLOGÍAS DE INFORMACIÓN Y COMUNICACIÓN</t>
  </si>
  <si>
    <t>Especialista Senior en Gestion de Proyectos Tecnológicos</t>
  </si>
  <si>
    <t>1713555470</t>
  </si>
  <si>
    <t>Córdova Salazar Dario Alfonso</t>
  </si>
  <si>
    <t>1707828941</t>
  </si>
  <si>
    <t>Duque Dávila Luis Efrén</t>
  </si>
  <si>
    <t>Especialista Junior de Servicios de Soporte Tecnológico</t>
  </si>
  <si>
    <t>1709434946</t>
  </si>
  <si>
    <t>Espinosa Coello Ramiro Eduardo</t>
  </si>
  <si>
    <t>GESTIÓN DE SERVICIOS TECNOLÓGICOS DE AUDIO, VIDEO Y VOTO ELECTRÓNICO-COORD. GEN. DE TECN. DE INFORMACIÓN Y COMUNICACIÓN</t>
  </si>
  <si>
    <t>Lider de Servicios Tecnológicos de Audio, Video y Voto Electrónico</t>
  </si>
  <si>
    <t>0702802893</t>
  </si>
  <si>
    <t>Granda Cabrera Byron Raul</t>
  </si>
  <si>
    <t>Especialista Junior de Desarrollo Tecnológico</t>
  </si>
  <si>
    <t>1716236813</t>
  </si>
  <si>
    <t>Guaman Leime Richard Eduardo</t>
  </si>
  <si>
    <t>1712449238</t>
  </si>
  <si>
    <t>Guerra Rodríguez Edgar Mauricio</t>
  </si>
  <si>
    <t>Especialista en Voto Electrónico</t>
  </si>
  <si>
    <t>1708526080</t>
  </si>
  <si>
    <t>Guzmán Sinchiguano Bayardo Enrique</t>
  </si>
  <si>
    <t>0603006107</t>
  </si>
  <si>
    <t>Haro Haro Iván Javier</t>
  </si>
  <si>
    <t>Especialista en Telecomunicaciones</t>
  </si>
  <si>
    <t>1719252130</t>
  </si>
  <si>
    <t>Hidalgo López Andrea Josely</t>
  </si>
  <si>
    <t>Especialista de Soporte Tecnológico de Audio y Video</t>
  </si>
  <si>
    <t>1716794308</t>
  </si>
  <si>
    <t>Lituma Gomez Carlos Alfredo</t>
  </si>
  <si>
    <t>1002352753</t>
  </si>
  <si>
    <t>Llumihuasi Quispe Juan Miguel</t>
  </si>
  <si>
    <t>GESTIÓN DE OPERACIONES TECNÓLOGICAS-COORD. GEN. DE TECNOLOGÍAS DE INFORMACIÓN Y COMUNICACIÓN</t>
  </si>
  <si>
    <t>Líder de Operaciones Tecnológicas</t>
  </si>
  <si>
    <t>1002875746</t>
  </si>
  <si>
    <t>López Hinojosa José Daniel</t>
  </si>
  <si>
    <t>Especialista Senior de Desarrollo Tecnológico</t>
  </si>
  <si>
    <t>1708262751</t>
  </si>
  <si>
    <t>Luzuriaga Guevara Daniel Fernando</t>
  </si>
  <si>
    <t>1705581815</t>
  </si>
  <si>
    <t>Mafla Herrería Edgar Fernando</t>
  </si>
  <si>
    <t>Asistente de Administración 5</t>
  </si>
  <si>
    <t>1900273754</t>
  </si>
  <si>
    <t>Maldonado Tinizaray Edison Fernando</t>
  </si>
  <si>
    <t>1002488581</t>
  </si>
  <si>
    <t>Martínez Nuñez Edwin Fernando</t>
  </si>
  <si>
    <t>Especialista de Proyectos</t>
  </si>
  <si>
    <t>1802446102</t>
  </si>
  <si>
    <t>Meza Morales Jorge Geovanny</t>
  </si>
  <si>
    <t>Especialista Junior de Desarrollo Tecnologico</t>
  </si>
  <si>
    <t>1717324857</t>
  </si>
  <si>
    <t>Noboa Garcia Pablo Danilo</t>
  </si>
  <si>
    <t>0501841472</t>
  </si>
  <si>
    <t>Panchi Masapanta Edwin Rodrigo</t>
  </si>
  <si>
    <t>Especialista Junior de Redes y Comunicaciones</t>
  </si>
  <si>
    <t>1002587184</t>
  </si>
  <si>
    <t>Pasquel Pasquel Jose Luis</t>
  </si>
  <si>
    <t>GESTIÓN DE SEGURIDAD INFORMÁTICA-COORD. GEN. DE TECNOLOGÍAS DE INFORMACIÓN Y COMUNICACIÓN</t>
  </si>
  <si>
    <t>Especialista Senior de Seguridad Informática</t>
  </si>
  <si>
    <t>1714129663</t>
  </si>
  <si>
    <t>Pérez Acosta Marjory Elizabeth</t>
  </si>
  <si>
    <t>1002849667</t>
  </si>
  <si>
    <t>Ruiz Pantoja Karla Maria</t>
  </si>
  <si>
    <t>1708474091</t>
  </si>
  <si>
    <t>Silva Ramírez Anibal Patricio</t>
  </si>
  <si>
    <t>Auxiliar de Mantenimiento 2</t>
  </si>
  <si>
    <t>0201273919</t>
  </si>
  <si>
    <t>Trujillo Torres Gladys Alexandra</t>
  </si>
  <si>
    <t>COORDINACIÓN GENERAL DE TECNOLOGÍAS DE INFORMACIÓN Y COMUNICACIÓN</t>
  </si>
  <si>
    <t>0201569381</t>
  </si>
  <si>
    <t>Vargas Salazar José Andrés</t>
  </si>
  <si>
    <t>0702088865</t>
  </si>
  <si>
    <t>Vásquez Aguilar Wilmer Alberto</t>
  </si>
  <si>
    <t>Analista de Sistemas 2</t>
  </si>
  <si>
    <t>1708035595</t>
  </si>
  <si>
    <t>Yar Hernández Oscar Clever</t>
  </si>
  <si>
    <t>1707440259</t>
  </si>
  <si>
    <t>Yépez Dávalos Juan Carlos</t>
  </si>
  <si>
    <t>0801951526</t>
  </si>
  <si>
    <t>Yépez Figueroa Wilton Javier</t>
  </si>
  <si>
    <t>1715423396</t>
  </si>
  <si>
    <t>Acuña Pastrano Ingrid de los Angeles</t>
  </si>
  <si>
    <t>GESTIÓN DE TELEVISIÓN-COORDINACIÓN GENERAL DE MEDIOS LEGISLATIVOS</t>
  </si>
  <si>
    <t>Programador/a de Televisión y/o Radio</t>
  </si>
  <si>
    <t>León Lucien Sierra Páez</t>
  </si>
  <si>
    <t>1707792709</t>
  </si>
  <si>
    <t>1708598725</t>
  </si>
  <si>
    <t>Andrade Caicedo Eduardo Miguel</t>
  </si>
  <si>
    <t>GESTIÓN DE RADIO-COORDINACIÓN GENERAL DE MEDIOS LEGISLATIVOS</t>
  </si>
  <si>
    <t>Editor Audiovisual</t>
  </si>
  <si>
    <t>0703864025</t>
  </si>
  <si>
    <t>Bermeo Zapater Diana Belen</t>
  </si>
  <si>
    <t>Productor/a - Realizador/a</t>
  </si>
  <si>
    <t>1712522166</t>
  </si>
  <si>
    <t>Bolaños Vaca José Luis</t>
  </si>
  <si>
    <t>1710255512</t>
  </si>
  <si>
    <t>Bonilla Gallardo Byron Rodrigo</t>
  </si>
  <si>
    <t>Operador de Control Master</t>
  </si>
  <si>
    <t>1720300720</t>
  </si>
  <si>
    <t>Bravo Flores Ricardo Xavier</t>
  </si>
  <si>
    <t>1711844363</t>
  </si>
  <si>
    <t>Cajamarca Rodríguez Christian Santiago</t>
  </si>
  <si>
    <t>1719813592</t>
  </si>
  <si>
    <t>Carvajal Echanique Juan José</t>
  </si>
  <si>
    <t>1716869894</t>
  </si>
  <si>
    <t>Cevallos Moreno Felipe Jose</t>
  </si>
  <si>
    <t>0602847337</t>
  </si>
  <si>
    <t>Coro Chimbolema Wayra Jawarmaky</t>
  </si>
  <si>
    <t>Camarógrafo/a</t>
  </si>
  <si>
    <t>1713225165</t>
  </si>
  <si>
    <t>Correa Campues Esteban</t>
  </si>
  <si>
    <t>Editor/a Audiovisual</t>
  </si>
  <si>
    <t>1708636913</t>
  </si>
  <si>
    <t>Cousín Serrano Bertha Inés</t>
  </si>
  <si>
    <t>COORDINACIÓN GENERAL DE MEDIOS LEGISLATIVOS</t>
  </si>
  <si>
    <t>1716567977</t>
  </si>
  <si>
    <t>Del Corral González Diego Fernando</t>
  </si>
  <si>
    <t>GESTIÓN DE SOCIAL MEDIA-COORDINACIÓN GENERAL DE MEDIOS LEGISLATIVOS</t>
  </si>
  <si>
    <t>Soporte de Operaciones de Medios Legislativos</t>
  </si>
  <si>
    <t>1707619571</t>
  </si>
  <si>
    <t>Enríquez Tapia Elmo Lehonel</t>
  </si>
  <si>
    <t>Swichman (Director de Cámaras)</t>
  </si>
  <si>
    <t>1721126785</t>
  </si>
  <si>
    <t>Espinosa Carrillo Lorena Belén</t>
  </si>
  <si>
    <t>1717350720</t>
  </si>
  <si>
    <t>Flores Tapia Maritza de los Angeles</t>
  </si>
  <si>
    <t>Supervisor de Noticias</t>
  </si>
  <si>
    <t>1710311000</t>
  </si>
  <si>
    <t>Freire Tejada Jorge Ricardo</t>
  </si>
  <si>
    <t>1713029971</t>
  </si>
  <si>
    <t>Garófalo Constante Gonzalo Alberto</t>
  </si>
  <si>
    <t>1717197774</t>
  </si>
  <si>
    <t>Gómez Alvarez Andrés Patricio</t>
  </si>
  <si>
    <t>1720166071</t>
  </si>
  <si>
    <t>Gómez Arias Mireya Alexandra</t>
  </si>
  <si>
    <t>Sonidista</t>
  </si>
  <si>
    <t>1709064701</t>
  </si>
  <si>
    <t>Guerra Díaz Samuel Abraham</t>
  </si>
  <si>
    <t>1718028754</t>
  </si>
  <si>
    <t>Guerrero Casares Xavier Eduardo</t>
  </si>
  <si>
    <t>1709062978</t>
  </si>
  <si>
    <t>Lara Chiriboga Freddy Rodolfo</t>
  </si>
  <si>
    <t>1716552821</t>
  </si>
  <si>
    <t>Legarda Jiménez María Alejandra</t>
  </si>
  <si>
    <t>1719049635</t>
  </si>
  <si>
    <t>León Ludeña Daniel Vicente</t>
  </si>
  <si>
    <t>Publicista</t>
  </si>
  <si>
    <t>0603142357</t>
  </si>
  <si>
    <t>Logroño Aroca Mariela Alejandra</t>
  </si>
  <si>
    <t>1713609699</t>
  </si>
  <si>
    <t>López Jacho Angel Humberto</t>
  </si>
  <si>
    <t>Técnico de control máster y transmisión</t>
  </si>
  <si>
    <t>1757349087</t>
  </si>
  <si>
    <t>Marval Paz Angélica María</t>
  </si>
  <si>
    <t>Locutor/a - Presentador/a</t>
  </si>
  <si>
    <t>1712686227</t>
  </si>
  <si>
    <t>Meriguet de León Manuel Ernesto</t>
  </si>
  <si>
    <t>Lider de Television</t>
  </si>
  <si>
    <t>1721449807</t>
  </si>
  <si>
    <t>Moncayo Bravo Sara Estefania</t>
  </si>
  <si>
    <t>Asistente de Producción</t>
  </si>
  <si>
    <t>1704266426</t>
  </si>
  <si>
    <t>Monteros Toledo Nancy Beatriz</t>
  </si>
  <si>
    <t>Técnico en Administración 5</t>
  </si>
  <si>
    <t>1715819890</t>
  </si>
  <si>
    <t>Moreno Vaca Alejandro Xavier</t>
  </si>
  <si>
    <t>1002951851</t>
  </si>
  <si>
    <t>Narvaez Lema Oliver Andrés</t>
  </si>
  <si>
    <t>1709939308</t>
  </si>
  <si>
    <t>Ortíz Ron Hugo Washington</t>
  </si>
  <si>
    <t>1718064619</t>
  </si>
  <si>
    <t>Pazmiño Vergara Santiago Eduardo</t>
  </si>
  <si>
    <t>1311696676</t>
  </si>
  <si>
    <t>Pinos Delgado Iván Humberto</t>
  </si>
  <si>
    <t>Webmaster</t>
  </si>
  <si>
    <t>1204432882</t>
  </si>
  <si>
    <t>Plúas Orozco Luisa Narcisa</t>
  </si>
  <si>
    <t>1709447120</t>
  </si>
  <si>
    <t>Rivadeneira Vaca Sara Esperanza</t>
  </si>
  <si>
    <t>1711919439</t>
  </si>
  <si>
    <t>Salgado Díaz Verónica de los Angeles</t>
  </si>
  <si>
    <t>Líder de Radio</t>
  </si>
  <si>
    <t>1717290918</t>
  </si>
  <si>
    <t>Sánchez Casa Belkis Lilian</t>
  </si>
  <si>
    <t>Supervisor/a de Noticias</t>
  </si>
  <si>
    <t>1715831697</t>
  </si>
  <si>
    <t>Santacruz Toscano Danny Mauricio</t>
  </si>
  <si>
    <t>1717797235</t>
  </si>
  <si>
    <t>Silva Cabezas Johnn Ramiro</t>
  </si>
  <si>
    <t>1716634587</t>
  </si>
  <si>
    <t>Sonnenholzner Espinosa Maria Tatiana</t>
  </si>
  <si>
    <t>1708977705</t>
  </si>
  <si>
    <t>Suárez Jaramillo Freddy Marcelo</t>
  </si>
  <si>
    <t>1721798831</t>
  </si>
  <si>
    <t>Uyana Endara Daysi Anabel</t>
  </si>
  <si>
    <t>1706561352</t>
  </si>
  <si>
    <t>Villafuerte Villagomez Jorge Enrique</t>
  </si>
  <si>
    <t>1721517603</t>
  </si>
  <si>
    <t>Zambrano Achig Esteban Andrés</t>
  </si>
  <si>
    <t>Editor/a audiovisual</t>
  </si>
  <si>
    <t>1724424450</t>
  </si>
  <si>
    <t>Aizaga Amaguaya Andrea Lizeth</t>
  </si>
  <si>
    <t>GESTIÓN DE ARCHIVO-BIBLIOTECA-SECRETARIA GENERAL</t>
  </si>
  <si>
    <t>María Belén Rocha Díaz</t>
  </si>
  <si>
    <t>0502145857</t>
  </si>
  <si>
    <t>1718836610</t>
  </si>
  <si>
    <t>Albuja Bucheli Juan Diego</t>
  </si>
  <si>
    <t>GESTIÓN DE SECRETARIA GENERAL-SECRETARIA GENERAL</t>
  </si>
  <si>
    <t>Asistente de Gestión Documental</t>
  </si>
  <si>
    <t>1720082625</t>
  </si>
  <si>
    <t>Añasco Solórzano Priscila Lorena</t>
  </si>
  <si>
    <t>Asistente de Archivo Biblioteca-Analisis Legal</t>
  </si>
  <si>
    <t>1706860473</t>
  </si>
  <si>
    <t>Andrade Orlando César Augusto</t>
  </si>
  <si>
    <t>ARCHIVO - BIBLIOTECA</t>
  </si>
  <si>
    <t>Profesional Supervisor</t>
  </si>
  <si>
    <t>0501408611</t>
  </si>
  <si>
    <t>Andrade Terán Susana Janett</t>
  </si>
  <si>
    <t>1712995578</t>
  </si>
  <si>
    <t>Arguello Egas Xavier Alejandro</t>
  </si>
  <si>
    <t>GESTIÓN DE ACTAS-SECRETARIA GENERAL</t>
  </si>
  <si>
    <t>Corrector de Actas</t>
  </si>
  <si>
    <t>1001715174</t>
  </si>
  <si>
    <t>Aulestia Galárraga Patricia Elizabeth</t>
  </si>
  <si>
    <t>0400679296</t>
  </si>
  <si>
    <t>Ayala Freire Wilson Andrés</t>
  </si>
  <si>
    <t>0200903854</t>
  </si>
  <si>
    <t>Barragán Cáceres Pedro Patricio</t>
  </si>
  <si>
    <t>Auxiliar Administrativo 2</t>
  </si>
  <si>
    <t>0500812300</t>
  </si>
  <si>
    <t>Barriga Zúñiga Eduardo Antonio</t>
  </si>
  <si>
    <t>0501048540</t>
  </si>
  <si>
    <t>Berrazueta Carrillo Mercedes Elina</t>
  </si>
  <si>
    <t>Analista 1</t>
  </si>
  <si>
    <t>1705591772</t>
  </si>
  <si>
    <t>Borja Cabascango Segundo José Fernando</t>
  </si>
  <si>
    <t>1711977528</t>
  </si>
  <si>
    <t>Carranza Román Johanna Carolina</t>
  </si>
  <si>
    <t>Analista de Gestion Documental</t>
  </si>
  <si>
    <t>1001249703</t>
  </si>
  <si>
    <t>Carrillo Almeida Pedro Patricio</t>
  </si>
  <si>
    <t>GESTIÓN DOCUMENTAL-SECRETARIA GENERAL</t>
  </si>
  <si>
    <t>Analista 2</t>
  </si>
  <si>
    <t>1709562621</t>
  </si>
  <si>
    <t>Caza Guaña Edgar Fabián</t>
  </si>
  <si>
    <t>1308031325</t>
  </si>
  <si>
    <t>Cedeño Cuadros Sonia Vanessa</t>
  </si>
  <si>
    <t>Servidor Legislativo 19</t>
  </si>
  <si>
    <t>Experto</t>
  </si>
  <si>
    <t>1709735854</t>
  </si>
  <si>
    <t>Chimbo Maldonado Gustavo Fernando</t>
  </si>
  <si>
    <t>Analista 3</t>
  </si>
  <si>
    <t>0601231764</t>
  </si>
  <si>
    <t>Costales Basantes Myrian Cecilia</t>
  </si>
  <si>
    <t>1705140422</t>
  </si>
  <si>
    <t>Dávila Salazar Laura Elena de los Angeles</t>
  </si>
  <si>
    <t>Mecanógrafa Parlamentaria 5</t>
  </si>
  <si>
    <t>0201048949</t>
  </si>
  <si>
    <t>De Mora Moncayo John Xavier</t>
  </si>
  <si>
    <t>1703840726</t>
  </si>
  <si>
    <t>Duarte Cedeño Mónica María</t>
  </si>
  <si>
    <t>1716604556</t>
  </si>
  <si>
    <t>Espin Galindo Sebastian</t>
  </si>
  <si>
    <t>1001225745</t>
  </si>
  <si>
    <t>Espin Guevara Wilson Edmundo</t>
  </si>
  <si>
    <t>Profesional 8 HD</t>
  </si>
  <si>
    <t>0603028705</t>
  </si>
  <si>
    <t>Gallegos Costales Diego Alejandro</t>
  </si>
  <si>
    <t>Transcriptor de Actas</t>
  </si>
  <si>
    <t>1719926162</t>
  </si>
  <si>
    <t>Hernández Salazar Pablo Santiago</t>
  </si>
  <si>
    <t>0103073557</t>
  </si>
  <si>
    <t>Hurtado Chérrez Betsy Mireya</t>
  </si>
  <si>
    <t>Líder de Archivo - Biblioteca</t>
  </si>
  <si>
    <t>0101765774</t>
  </si>
  <si>
    <t>Jimbo Córdova Dina Cumandá</t>
  </si>
  <si>
    <t>1705519138</t>
  </si>
  <si>
    <t>Leiva Gallo Norton Mauricio</t>
  </si>
  <si>
    <t>1103606990</t>
  </si>
  <si>
    <t>Loaiza Ochoa Marco David</t>
  </si>
  <si>
    <t>1303996985</t>
  </si>
  <si>
    <t>Mendoza Corral Yadira Ileana</t>
  </si>
  <si>
    <t>1708614209</t>
  </si>
  <si>
    <t>Narváez Quiñónez Silvia Cumandá</t>
  </si>
  <si>
    <t>0400666228</t>
  </si>
  <si>
    <t>Narváez Sánchez Martha Cecilia</t>
  </si>
  <si>
    <t>1708165897</t>
  </si>
  <si>
    <t>Palacios Luna Patricia Alexandra</t>
  </si>
  <si>
    <t>Especialista Junior de Archivo - Análisis Legal</t>
  </si>
  <si>
    <t>0800862070</t>
  </si>
  <si>
    <t>Paredes Aveiga Yecenia Elizabeth</t>
  </si>
  <si>
    <t>1102029723</t>
  </si>
  <si>
    <t>Pazmiño Villacís Mireya Elizabeth</t>
  </si>
  <si>
    <t>Mecanógrafa Parlamentaria 4</t>
  </si>
  <si>
    <t>1714303300</t>
  </si>
  <si>
    <t>Perez Robalino Susana Lorena</t>
  </si>
  <si>
    <t>1720221488</t>
  </si>
  <si>
    <t>Piedra Collaguazo Fernanda Elizabeth</t>
  </si>
  <si>
    <t>1705012233</t>
  </si>
  <si>
    <t>Plúa Salazar Rosario de Fátima</t>
  </si>
  <si>
    <t>ACTAS</t>
  </si>
  <si>
    <t>1711160141</t>
  </si>
  <si>
    <t>Ramos Cabrera  Marlluri Elizabeth</t>
  </si>
  <si>
    <t>1600211542</t>
  </si>
  <si>
    <t>Robalino Paz Marianita de Jesús</t>
  </si>
  <si>
    <t>Mecanógrafa Parlamentaria 3</t>
  </si>
  <si>
    <t>1718652595</t>
  </si>
  <si>
    <t>Rodríguez Fuentes Mayte Daybeth</t>
  </si>
  <si>
    <t>0929049609</t>
  </si>
  <si>
    <t>Rodriguez Garcia Maryury Elizabeth</t>
  </si>
  <si>
    <t>1500153505</t>
  </si>
  <si>
    <t>Rodríguez Grefa Lautaro Fausto</t>
  </si>
  <si>
    <t>1709819617</t>
  </si>
  <si>
    <t>Rodríguez Vásquez Neli Beatriz del Cisne</t>
  </si>
  <si>
    <t>1709032344</t>
  </si>
  <si>
    <t>Sanabria Landeta Samson Francisco</t>
  </si>
  <si>
    <t>0200639904</t>
  </si>
  <si>
    <t>Sánchez Gavilanes Victor Hugo</t>
  </si>
  <si>
    <t>1716580178</t>
  </si>
  <si>
    <t>Silva Ayala David Alejandro</t>
  </si>
  <si>
    <t>1710176387</t>
  </si>
  <si>
    <t>Tabango Romo Marco Antonio</t>
  </si>
  <si>
    <t>Mecanógrafa Parlamentaria 1</t>
  </si>
  <si>
    <t>1001653227</t>
  </si>
  <si>
    <t>Terán Sevilla Lidia Emérita</t>
  </si>
  <si>
    <t>Especialista 1</t>
  </si>
  <si>
    <t>1500277650</t>
  </si>
  <si>
    <t>Tobar Silva Byron Ramiro</t>
  </si>
  <si>
    <t>1713165452</t>
  </si>
  <si>
    <t>Torres Cueva Verónica Patricia</t>
  </si>
  <si>
    <t>1715592786</t>
  </si>
  <si>
    <t>Vallejo Galárraga Guido Fabián</t>
  </si>
  <si>
    <t>Servidor Legislativo 17</t>
  </si>
  <si>
    <t>0200650711</t>
  </si>
  <si>
    <t>Velasco Bravo Mercedes Elena</t>
  </si>
  <si>
    <t>1712818408</t>
  </si>
  <si>
    <t>Zurita Chávez Denise Aracely</t>
  </si>
  <si>
    <t>0201425394</t>
  </si>
  <si>
    <t>Aranda Miguez Kleber Renan</t>
  </si>
  <si>
    <t>GESTIÓN DE COMUNICACIÓN ESTRATÉGICA-SECRETARIA DE COMUNICACIÓN</t>
  </si>
  <si>
    <t>María Carolina Jaramillo Garcés</t>
  </si>
  <si>
    <t>1714850516</t>
  </si>
  <si>
    <t>Cazar López Alejandra Elizabeth</t>
  </si>
  <si>
    <t>SECRETARÍA DE COMUNICACIÓN</t>
  </si>
  <si>
    <t>Supervisor/a de Comunicación Interna</t>
  </si>
  <si>
    <t>1708230345</t>
  </si>
  <si>
    <t>Fernández Escobar Jorge Francisco</t>
  </si>
  <si>
    <t>1102122502</t>
  </si>
  <si>
    <t>Ochoa Loyola  Soraya Yackeline</t>
  </si>
  <si>
    <t>0602965766</t>
  </si>
  <si>
    <t>Oviedo Andino Juan Carlos</t>
  </si>
  <si>
    <t>Analista</t>
  </si>
  <si>
    <t>0103209946</t>
  </si>
  <si>
    <t>Pérez Encalada Juan Esteban</t>
  </si>
  <si>
    <t>Productor/Realizador</t>
  </si>
  <si>
    <t>1721706503</t>
  </si>
  <si>
    <t>Palomeque Mosquera Willian Paul</t>
  </si>
  <si>
    <t>SECRETARIA DE RELACIONES INTERNACIONALES E INTERINSTITUCIONALES</t>
  </si>
  <si>
    <t>Secretaria/o</t>
  </si>
  <si>
    <t>María Cristina Castrillón Larrea</t>
  </si>
  <si>
    <t>1310854417</t>
  </si>
  <si>
    <t>Andrade Salinas Yuly Isabel</t>
  </si>
  <si>
    <t>PRESIDENCIA</t>
  </si>
  <si>
    <t>María José Vásquez Quiroz</t>
  </si>
  <si>
    <t>1712519881</t>
  </si>
  <si>
    <t>1706693742</t>
  </si>
  <si>
    <t>Arce Padilla Elio Manuel Fernando</t>
  </si>
  <si>
    <t>1205963802</t>
  </si>
  <si>
    <t>Barreiro Anchundia Laura Marlene</t>
  </si>
  <si>
    <t>1723582191</t>
  </si>
  <si>
    <t>Brusil Alvarez María Gabriela</t>
  </si>
  <si>
    <t>1710445758</t>
  </si>
  <si>
    <t>Mantilla Baca Manuel Sebastián</t>
  </si>
  <si>
    <t>Especialista en  Administración</t>
  </si>
  <si>
    <t>1001201001</t>
  </si>
  <si>
    <t>Portilla Montesdeoca Jorge Leonardo</t>
  </si>
  <si>
    <t>1724622293</t>
  </si>
  <si>
    <t>Sharupi Jua Alexis Germán</t>
  </si>
  <si>
    <t>1705896189</t>
  </si>
  <si>
    <t>Acuña Sarzosa Pablo Ernesto</t>
  </si>
  <si>
    <t>GESTIÓN DE SALUD Y TRABAJO SOCIAL-COORDINACIÓN GENERAL DE TALENTO HUMANO</t>
  </si>
  <si>
    <t>Tecnólogo Médico (8 H.D.) 1</t>
  </si>
  <si>
    <t>Nancy Angélica Herrera Coello</t>
  </si>
  <si>
    <t>1708621857</t>
  </si>
  <si>
    <t>1710082783</t>
  </si>
  <si>
    <t>Aguilar Alfaro Lili Sherley</t>
  </si>
  <si>
    <t>GESTIÓN TÉCNICA DEL TALENTO HUMANO-COORDINACIÓN GENERAL DE TALENTO HUMANO</t>
  </si>
  <si>
    <t>1706299847</t>
  </si>
  <si>
    <t>Aguilar Carrión Sarita de Fátima</t>
  </si>
  <si>
    <t>GESTIÓN ADMINISTRATIVA DEL TALENTO HUMANO-COORDINACIÓN GENERAL DE TALENTO HUMANO</t>
  </si>
  <si>
    <t>1709406704</t>
  </si>
  <si>
    <t>Ayala Torres Janneth Cecilia</t>
  </si>
  <si>
    <t>COORDINACIÓN GENERAL DE TALENTO HUMANO</t>
  </si>
  <si>
    <t>0101363950</t>
  </si>
  <si>
    <t>Barzallo Quintanilla Patricio Guillermo</t>
  </si>
  <si>
    <t>Médico (8 H.D.) 5</t>
  </si>
  <si>
    <t>0601542087</t>
  </si>
  <si>
    <t>Cabezas Jarrín Narcisa Anatolia</t>
  </si>
  <si>
    <t>Trabajadora Social T.C. 4</t>
  </si>
  <si>
    <t>1705198826</t>
  </si>
  <si>
    <t>Canelos Cruz Marcela Patricia</t>
  </si>
  <si>
    <t>Médico (8 H.D.) 4</t>
  </si>
  <si>
    <t>0400665287</t>
  </si>
  <si>
    <t>Cárdenas Narváez Ramiro Fabián</t>
  </si>
  <si>
    <t>Odontólogo (8 H.D.) 4</t>
  </si>
  <si>
    <t>0400822284</t>
  </si>
  <si>
    <t>Chamorro Hidalgo Ana Cristina</t>
  </si>
  <si>
    <t>GESTIÓN DE SEGURIDAD E HIGIENE LABORAL-COORDINACIÓN GENERAL DE TALENTO HUMANO</t>
  </si>
  <si>
    <t>Analista Legislativo 2</t>
  </si>
  <si>
    <t>1720035730</t>
  </si>
  <si>
    <t>Cusicagua Velasco Jorge Stalin</t>
  </si>
  <si>
    <t>1721970513</t>
  </si>
  <si>
    <t>Cuyago Morales Miguel Armando</t>
  </si>
  <si>
    <t>Asistente de Talento Humano</t>
  </si>
  <si>
    <t>1801875582</t>
  </si>
  <si>
    <t>Del Pino Troncoso Lenín Fabián</t>
  </si>
  <si>
    <t>Asistente de Recursos Humanos 1</t>
  </si>
  <si>
    <t>1711152106</t>
  </si>
  <si>
    <t>Díaz Pinto Roberto Carlos</t>
  </si>
  <si>
    <t>Líder de la Seguridad e Higiene Laboral</t>
  </si>
  <si>
    <t>0101779866</t>
  </si>
  <si>
    <t>Espinoza Valdez María de Lourdes</t>
  </si>
  <si>
    <t>Laboratorista Institucional Especialista en Calidad (6 HD)</t>
  </si>
  <si>
    <t>1600198095</t>
  </si>
  <si>
    <t>Flores Borja Nora del Rocío</t>
  </si>
  <si>
    <t>Enfermera T.C. 2</t>
  </si>
  <si>
    <t>1711663508</t>
  </si>
  <si>
    <t>García Jácome Liliana del Rosario</t>
  </si>
  <si>
    <t>1712895562</t>
  </si>
  <si>
    <t>Gordón Cisneros José Fernando</t>
  </si>
  <si>
    <t>Especialista Junior de Seguridad e Higiene Laboral</t>
  </si>
  <si>
    <t>1705371514</t>
  </si>
  <si>
    <t>Herrera Medina Silvia Elizabeth</t>
  </si>
  <si>
    <t>1706739438</t>
  </si>
  <si>
    <t>Herrera Moscoso Bruno Fabián</t>
  </si>
  <si>
    <t>Técnico de Archivo 1</t>
  </si>
  <si>
    <t>1002128591</t>
  </si>
  <si>
    <t>Hidalgo Huaca Blanca Elizabeth</t>
  </si>
  <si>
    <t>1705086765</t>
  </si>
  <si>
    <t>Larcos Jorge Enrique</t>
  </si>
  <si>
    <t>Odontólogo Institucional</t>
  </si>
  <si>
    <t>0200587343</t>
  </si>
  <si>
    <t>Llaguno Baus María Victoria</t>
  </si>
  <si>
    <t>0400466439</t>
  </si>
  <si>
    <t>López Pulles Leonor Mariela</t>
  </si>
  <si>
    <t>Bioquímico (6 H.D.) 4</t>
  </si>
  <si>
    <t>1716190986</t>
  </si>
  <si>
    <t>Pérez Ayala Carlos Enrique</t>
  </si>
  <si>
    <t>1706785696</t>
  </si>
  <si>
    <t>Portilla Sierra Germán Ramiro</t>
  </si>
  <si>
    <t>Especialista Senior de Gestion Tecnica del Talento Humano</t>
  </si>
  <si>
    <t>0601811680</t>
  </si>
  <si>
    <t>Procel Alvarado Juan Alberto</t>
  </si>
  <si>
    <t>Psicólogo (8 H.D.) 3</t>
  </si>
  <si>
    <t>1709158214</t>
  </si>
  <si>
    <t>Quirola Boada Irina Brushenka</t>
  </si>
  <si>
    <t>1723342091</t>
  </si>
  <si>
    <t>Recalde Zambrano Víctor Wladimir</t>
  </si>
  <si>
    <t>Especialista Junior de Gestión Técnica del Talento Humano</t>
  </si>
  <si>
    <t>0200951424</t>
  </si>
  <si>
    <t>Ribadeneira Morales Marco Ramiro</t>
  </si>
  <si>
    <t>Asistente Financiero 4</t>
  </si>
  <si>
    <t>0501002521</t>
  </si>
  <si>
    <t>Rodríguez Núñez Ana Julieta</t>
  </si>
  <si>
    <t>Asistente de Servicios Médicos 1</t>
  </si>
  <si>
    <t>1718458803</t>
  </si>
  <si>
    <t>Rosales Pavón Karina Geovanna</t>
  </si>
  <si>
    <t>1710015056</t>
  </si>
  <si>
    <t>Sánchez César Fabián</t>
  </si>
  <si>
    <t>1001231727</t>
  </si>
  <si>
    <t>Terán Endara Sandra Rocío</t>
  </si>
  <si>
    <t>Auxiliar de Odontología</t>
  </si>
  <si>
    <t>1723501852</t>
  </si>
  <si>
    <t>Vargas Alarcon Maria Belen</t>
  </si>
  <si>
    <t>0914466263</t>
  </si>
  <si>
    <t>Vargas Quinteros Martha Lucrecia</t>
  </si>
  <si>
    <t>1714866116</t>
  </si>
  <si>
    <t>Vergara Bonilla María Teresa</t>
  </si>
  <si>
    <t>1704402518</t>
  </si>
  <si>
    <t>Yerovi Andrade Iván Guillermo</t>
  </si>
  <si>
    <t>Médico (8 H.D.) 3</t>
  </si>
  <si>
    <t>0201336195</t>
  </si>
  <si>
    <t>Albiño Aguilar Fredy Patricio</t>
  </si>
  <si>
    <t>GESTIÓN DE CASA DE LA ASAMBLEA NACIONAL DE BOLIVAR</t>
  </si>
  <si>
    <t>Asistente de la Casa de la Asamblea Nacional</t>
  </si>
  <si>
    <t>Paúl Alfredo Gallardo Rodríguez</t>
  </si>
  <si>
    <t>1850794320</t>
  </si>
  <si>
    <t>Andagana Pacari Carmen Selena</t>
  </si>
  <si>
    <t>GESTIÓN DE CASA DE LA ASAMBLEA NACIONAL DE TUNGURAHUA</t>
  </si>
  <si>
    <t>1600358889</t>
  </si>
  <si>
    <t>Arboleda Sanabria Patricio Jovanni</t>
  </si>
  <si>
    <t>GESTIÓN DE CASA DE LA ASAMBLEA NACIONAL DE PASTAZA</t>
  </si>
  <si>
    <t>1708596091</t>
  </si>
  <si>
    <t>Bejarano Gomes Segundo Federico</t>
  </si>
  <si>
    <t>GESTIÓN DE PARTICIPACIÓN CIUDADANA-PARTICIPACIÓN CIUDADANA</t>
  </si>
  <si>
    <t>1500576366</t>
  </si>
  <si>
    <t>Cahueñas Shiguango Carla Paola</t>
  </si>
  <si>
    <t>GESTIÓN DE CASA DE LA ASAMBLEA NACIONAL DE NAPO</t>
  </si>
  <si>
    <t>0401434295</t>
  </si>
  <si>
    <t>Chiliquinga Cunalata Christian Daniel</t>
  </si>
  <si>
    <t>GESTIÓN DE CASA DE LA ASAMBLEA NACIONAL DE CARCHI</t>
  </si>
  <si>
    <t>1600354540</t>
  </si>
  <si>
    <t>Constante Altamirano Jaime Eduardo</t>
  </si>
  <si>
    <t>Auxiliar de Participación Ciudadana</t>
  </si>
  <si>
    <t>0705373199</t>
  </si>
  <si>
    <t>Contreras Herrera Verónica Margarita</t>
  </si>
  <si>
    <t>GESTIÓN DE CASA DE LA ASAMBLEA NACIONAL DE EL ORO</t>
  </si>
  <si>
    <t>0602585903</t>
  </si>
  <si>
    <t>Córdova Lara Maria Diana</t>
  </si>
  <si>
    <t>GESTIÓN DE CASA DE LA ASAMBLEA NACIONAL DE CHIMBORAZO</t>
  </si>
  <si>
    <t>2100449822</t>
  </si>
  <si>
    <t>Correa Castillo Noemi Aida</t>
  </si>
  <si>
    <t>GESTIÓN DE CASA DE LA ASAMBLEA NACIONAL DE ORELLANA</t>
  </si>
  <si>
    <t>1003987375</t>
  </si>
  <si>
    <t>Criollo Amaguaña Marilyn Edith</t>
  </si>
  <si>
    <t>GESTIÓN DE CASA DE LA ASAMBLEA NACIONAL DE IMBABURA</t>
  </si>
  <si>
    <t>1717122764</t>
  </si>
  <si>
    <t>Echeverría Meza Alexis Renato</t>
  </si>
  <si>
    <t>Especialista Junior de Participación Ciudadana</t>
  </si>
  <si>
    <t>1003382536</t>
  </si>
  <si>
    <t>Erazo Del Valle Angel Gonzalo</t>
  </si>
  <si>
    <t>Asistente de Participacion Ciudadana</t>
  </si>
  <si>
    <t>1308732997</t>
  </si>
  <si>
    <t>Fernández Zambrano Jhonny Orley</t>
  </si>
  <si>
    <t>GESTIÓN DE CASA DE LA ASAMBLEA NACIONAL DE SANTA ELENA</t>
  </si>
  <si>
    <t>0917843344</t>
  </si>
  <si>
    <t>Garcia Madrid John Eduardo</t>
  </si>
  <si>
    <t>GESTIÓN DE CASA DE LA ASAMBLEA NACIONAL DE AZUAY</t>
  </si>
  <si>
    <t>1721349957</t>
  </si>
  <si>
    <t>Iza Arguello Santiago Xavier</t>
  </si>
  <si>
    <t>Asistente de Participación Ciudadana</t>
  </si>
  <si>
    <t>0909174575</t>
  </si>
  <si>
    <t>Jibaja Suárez Juan José Enrique</t>
  </si>
  <si>
    <t>GESTIÓN DE CASA DE LA ASAMBLEA NACIONAL DE GUAYAS</t>
  </si>
  <si>
    <t>0502782683</t>
  </si>
  <si>
    <t>Jiménez Ayala Carmita Mariela</t>
  </si>
  <si>
    <t>GESTIÓN DE CASA DE LA ASAMBLEA NACIONAL DE COTOPAXI</t>
  </si>
  <si>
    <t>1400436786</t>
  </si>
  <si>
    <t>Landi Landi Manuel Armando</t>
  </si>
  <si>
    <t>GESTIÓN DE CASA DE LA ASAMBLEA NACIONAL DE MORONA SANTIAGO</t>
  </si>
  <si>
    <t>0916940166</t>
  </si>
  <si>
    <t>Litardo Montece Eulalia Leonor</t>
  </si>
  <si>
    <t>0801726258</t>
  </si>
  <si>
    <t>Martínez Hernández Jovanna del Pilar</t>
  </si>
  <si>
    <t>GESTIÓN DE CASA DE LA ASAMBLEA NACIONAL DE ESMERALDAS</t>
  </si>
  <si>
    <t>Asistente de la Casa de la Asamblea Nacional de Esmeraldas</t>
  </si>
  <si>
    <t>1307519114</t>
  </si>
  <si>
    <t>Mendoza Murillo Cecibel del Rocío</t>
  </si>
  <si>
    <t>1705618229</t>
  </si>
  <si>
    <t>Miño Arcos Edison Ramiro</t>
  </si>
  <si>
    <t>1710620111</t>
  </si>
  <si>
    <t>Proaño Soliz Edison Eduardo</t>
  </si>
  <si>
    <t>1103765556</t>
  </si>
  <si>
    <t>Ramon Labanda Ronmel Bernaldo</t>
  </si>
  <si>
    <t>GESTIÓN DE CASA DE LA ASAMBLEA NACIONAL DE ZAMORA CHINCHIPE</t>
  </si>
  <si>
    <t>1722055447</t>
  </si>
  <si>
    <t>Saavedra Viteri Gabriela Yadira</t>
  </si>
  <si>
    <t>1310229263</t>
  </si>
  <si>
    <t>Saltos López Nelly Johana</t>
  </si>
  <si>
    <t>Especialista Senior de Participación Ciudadana</t>
  </si>
  <si>
    <t>1715179089</t>
  </si>
  <si>
    <t>Tipanguano Caiza Nancy Verónica</t>
  </si>
  <si>
    <t>GESTIÓN DE CASA DE LA ASAMBLEA NACIONAL DE SANTO DOMINGO DE LOS TSÁCHILAS</t>
  </si>
  <si>
    <t>Asiste de la Casa de la Asamblea Nacional</t>
  </si>
  <si>
    <t>1206001990</t>
  </si>
  <si>
    <t>Vélez Peñafiel Geovanna Mercedes</t>
  </si>
  <si>
    <t>GESTIÓN DE CASA DE LA ASAMBLEA NACIONAL DE LOS RÍOS</t>
  </si>
  <si>
    <t>1712680113</t>
  </si>
  <si>
    <t>Vera Medina Miryam del Rocío</t>
  </si>
  <si>
    <t>0200758498</t>
  </si>
  <si>
    <t>Villa Arregui Edgar Iván</t>
  </si>
  <si>
    <t>Supervisor de Participación Ciudadana</t>
  </si>
  <si>
    <t>1803371689</t>
  </si>
  <si>
    <t>Angulo Salazar Cristina Verónica</t>
  </si>
  <si>
    <t>GESTIÓN PRESUPUESTARIA-COORDINACIÓN GENERAL FINANCIERA</t>
  </si>
  <si>
    <t>Especialista Senior de Presupuesto</t>
  </si>
  <si>
    <t>Roberto de Jesús Escandón Loaiza</t>
  </si>
  <si>
    <t>0907435572</t>
  </si>
  <si>
    <t>0400710430</t>
  </si>
  <si>
    <t>Angulo Suárez Dolores Elena</t>
  </si>
  <si>
    <t>GESTIÓN DE CONTROL INTERNO-COORDINACIÓN GENERAL FINANCIERA</t>
  </si>
  <si>
    <t>1711432763</t>
  </si>
  <si>
    <t>Arguello Segovia Oscar Patricio</t>
  </si>
  <si>
    <t>GESTIÓN DE NOMINA-COORDINACIÓN GENERAL FINANCIERA</t>
  </si>
  <si>
    <t>Especialista de Nomina</t>
  </si>
  <si>
    <t>0601658339</t>
  </si>
  <si>
    <t>Armijos Salazar Goering José</t>
  </si>
  <si>
    <t>1002576294</t>
  </si>
  <si>
    <t>Bedón Huaca Gabriela Alexandra</t>
  </si>
  <si>
    <t>Lider de Presupuesto</t>
  </si>
  <si>
    <t>1707670921</t>
  </si>
  <si>
    <t>Cárdenas Adrian Jeannet Soraya</t>
  </si>
  <si>
    <t>COORDINACIÓN GENERAL FINANCIERA</t>
  </si>
  <si>
    <t>1712622958</t>
  </si>
  <si>
    <t>Castillo Rueda Santiago Gabriel</t>
  </si>
  <si>
    <t>0501148464</t>
  </si>
  <si>
    <t>Cuacés Valencia Fabián Isael</t>
  </si>
  <si>
    <t>GESTIÓN DE TESORERÍA-COORDINACIÓN GENERAL FINANCIERA</t>
  </si>
  <si>
    <t>1705370813</t>
  </si>
  <si>
    <t>Cuji Espín Graciela Marlene</t>
  </si>
  <si>
    <t>Asistente Financiero 5</t>
  </si>
  <si>
    <t>1714262852</t>
  </si>
  <si>
    <t>Espinoza Acosta Johanna Gabriela</t>
  </si>
  <si>
    <t>0400747242</t>
  </si>
  <si>
    <t>García Ibujes Richard Eduardo</t>
  </si>
  <si>
    <t>1707570931</t>
  </si>
  <si>
    <t>Herrera Gallardo Sandra Patricia</t>
  </si>
  <si>
    <t>Asistente de Nomina</t>
  </si>
  <si>
    <t>1600393795</t>
  </si>
  <si>
    <t>Licuy Aguinda Henry Gerardo</t>
  </si>
  <si>
    <t>GESTIÓN CONTABLE-COORDINACIÓN GENERAL FINANCIERA</t>
  </si>
  <si>
    <t>1707932347</t>
  </si>
  <si>
    <t>López Castillo Martha Cecilia</t>
  </si>
  <si>
    <t>0919826990</t>
  </si>
  <si>
    <t>Mazon Jupiter Carlos Javier</t>
  </si>
  <si>
    <t>Especialista Junior de Contabilidad</t>
  </si>
  <si>
    <t>1719087460</t>
  </si>
  <si>
    <t>Mena Mora Andrés Alejandro</t>
  </si>
  <si>
    <t>1707345342</t>
  </si>
  <si>
    <t>Mier Sánchez Dora Gladys</t>
  </si>
  <si>
    <t>Analista Financiero 1</t>
  </si>
  <si>
    <t>0603261538</t>
  </si>
  <si>
    <t>Morales Frey Andrea Susana</t>
  </si>
  <si>
    <t>1707122709</t>
  </si>
  <si>
    <t>Noboa Yépez Amparito de los Angeles</t>
  </si>
  <si>
    <t>1714285051</t>
  </si>
  <si>
    <t>Ocaña Vizcaíno Gissela Salomé</t>
  </si>
  <si>
    <t>Especialista Senior de Contabilidad</t>
  </si>
  <si>
    <t>1722044052</t>
  </si>
  <si>
    <t>Puente Córdova Fernanda Marisol</t>
  </si>
  <si>
    <t>1716510100</t>
  </si>
  <si>
    <t>Quiroz Carrera Pamela Elizabeth</t>
  </si>
  <si>
    <t>Especialista Junior de Tesorería</t>
  </si>
  <si>
    <t>1723033070</t>
  </si>
  <si>
    <t>Santacruz Balarezo Yessica Geovanna</t>
  </si>
  <si>
    <t>0601627052</t>
  </si>
  <si>
    <t>Santillán Mancero José Vicente</t>
  </si>
  <si>
    <t>Contador</t>
  </si>
  <si>
    <t>1102934526</t>
  </si>
  <si>
    <t>Sotomayor Gálvez Jorge Hugo</t>
  </si>
  <si>
    <t>1311940280</t>
  </si>
  <si>
    <t>Véliz Santos María Claribel</t>
  </si>
  <si>
    <t>Especialista de Control Interno</t>
  </si>
  <si>
    <t>1709193385</t>
  </si>
  <si>
    <t>Vergara Borja Fanny Esmeralda</t>
  </si>
  <si>
    <t>1708227309</t>
  </si>
  <si>
    <t>Abad López Francis Xavier</t>
  </si>
  <si>
    <t>GESTIÓN DE PATROCINIO INSTITUCIONAL-COORDINACIÓN GENERAL DE ASESORÍA JURÍDICA</t>
  </si>
  <si>
    <t>Santiago Javier Salazar Armijos</t>
  </si>
  <si>
    <t>1400264196</t>
  </si>
  <si>
    <t>Colala Peñarreta Eduardo Efrain</t>
  </si>
  <si>
    <t>Especialista Senior de Patrocinio Institucional</t>
  </si>
  <si>
    <t>1705826079</t>
  </si>
  <si>
    <t>García Paredes Rosario Bélgica</t>
  </si>
  <si>
    <t>GESTIÓN DE INTERVENCIÓN JURÍDICA PARA LA CONTRATACIÓN PÚBLICA-COORDINACIÓN GENERAL DE ASESORÍA  JURÍDICA</t>
  </si>
  <si>
    <t>Analista de Abogacía 1</t>
  </si>
  <si>
    <t>1721931549</t>
  </si>
  <si>
    <t>Jaramillo Navarrete Jenny Alexandra</t>
  </si>
  <si>
    <t>GESTIÓN DE ASESORÍA JURÍDICA-COORDINACIÓN GENERAL DE ASESORÍA JURÍDICA</t>
  </si>
  <si>
    <t>Especialista Junior de Asesoría Jurídica</t>
  </si>
  <si>
    <t>0500976337</t>
  </si>
  <si>
    <t>Ortega Gaete Jaime Hernán</t>
  </si>
  <si>
    <t>1708676950</t>
  </si>
  <si>
    <t>Regalado Cevallos María Gabriela</t>
  </si>
  <si>
    <t>Lider de Intervención Jurídica para la Contratación Pública</t>
  </si>
  <si>
    <t>1003023775</t>
  </si>
  <si>
    <t>Rodríguez Saráuz Andrea Lourdes</t>
  </si>
  <si>
    <t>Especialista Junior de Patrocinio Institucional</t>
  </si>
  <si>
    <t>0201032935</t>
  </si>
  <si>
    <t>Taco Fierro Edwin Antonio</t>
  </si>
  <si>
    <t>Analista de Abogacía 2</t>
  </si>
  <si>
    <t>1312289711</t>
  </si>
  <si>
    <t>Córdova Loor José Anibal</t>
  </si>
  <si>
    <t>GESTIÓN DE RELACIONES INTERNACIONALES-COORDINACIÓN DE RELACIONES INTERNACIONALES</t>
  </si>
  <si>
    <t>Asistente de Relaciones Internacionales</t>
  </si>
  <si>
    <t>Santiago Patricio Izquierdo Rovalino</t>
  </si>
  <si>
    <t>1709165581</t>
  </si>
  <si>
    <t>1715703334</t>
  </si>
  <si>
    <t>López Montero Catherine Estefanía</t>
  </si>
  <si>
    <t>CAL - Vocalía 1 - Soledad Buendía</t>
  </si>
  <si>
    <t>María Soledad Buendía Herdoíza</t>
  </si>
  <si>
    <t>1710086685</t>
  </si>
  <si>
    <t>1104060270</t>
  </si>
  <si>
    <t>Granda Flores Yohsana Maritza</t>
  </si>
  <si>
    <t>CAL - Vocalía 2 - Veronica Arias</t>
  </si>
  <si>
    <t>Verónica Elizabeth Arias Fernández</t>
  </si>
  <si>
    <t>1104223118</t>
  </si>
  <si>
    <t>0925651275</t>
  </si>
  <si>
    <t>Hidalgo Astudillo Amanda Soledad</t>
  </si>
  <si>
    <t>CAL - Vocalía 3 - Luis Fernando Torres</t>
  </si>
  <si>
    <t>Luis Fernando Torres Torres</t>
  </si>
  <si>
    <t>1801607480</t>
  </si>
  <si>
    <t>1710263664</t>
  </si>
  <si>
    <t>Nuonno Vass Mario Andrea</t>
  </si>
  <si>
    <t>CAL - Vocalía 4 - Patricio Donoso Chiriboga</t>
  </si>
  <si>
    <t>Patricio Donoso Chiriboga</t>
  </si>
  <si>
    <t>1703744472</t>
  </si>
  <si>
    <t>1709171373</t>
  </si>
  <si>
    <t>Collahuazo Román Mauro Romel</t>
  </si>
  <si>
    <t>COMISIÓN ESPECIALIZADA PERMANENTE DE SOBERANÍA, INTEGRACIÓN, RELACIONES INTERNACIONALES Y SEGURIDAD INTEGRAL</t>
  </si>
  <si>
    <t>Esther Adelina Cuesta Santana</t>
  </si>
  <si>
    <t>0910791508</t>
  </si>
  <si>
    <t>1717314759</t>
  </si>
  <si>
    <t>Carlin Chapanta Abraham Santiago</t>
  </si>
  <si>
    <t>COORDINACIÓN GENERAL DE ASESORÍA JURÍDICA</t>
  </si>
  <si>
    <t>1709341505</t>
  </si>
  <si>
    <t>Enríquez Albán Susy Margaret</t>
  </si>
  <si>
    <t>1704213543</t>
  </si>
  <si>
    <t>Duarte Cedeño Leslye Soraya Mariana</t>
  </si>
  <si>
    <t>ESCOLTA LEGISLATIVA</t>
  </si>
  <si>
    <t>1716717374</t>
  </si>
  <si>
    <t>Jurado Guerrero Diego Xavier</t>
  </si>
  <si>
    <t>GESTIÓN DE MEDIOS LEGISLATIVOS-COORDINACIÓN GENERAL DE MEDIOS LEGISLATIVOS</t>
  </si>
  <si>
    <t>Técnico de Catalogación y Archivo</t>
  </si>
  <si>
    <t>1721629333</t>
  </si>
  <si>
    <t>Lagla Salazar Galo Fernando</t>
  </si>
  <si>
    <t>1711467819</t>
  </si>
  <si>
    <t>Ochoa Beltran Santiago David</t>
  </si>
  <si>
    <t>PRIMERA VICEPRESIDENCIA</t>
  </si>
  <si>
    <t>Viviana Patricia Bonilla Salcedo</t>
  </si>
  <si>
    <t>0913752911</t>
  </si>
  <si>
    <t>1711479525</t>
  </si>
  <si>
    <t>Ramos Rodríguez John Carlos</t>
  </si>
  <si>
    <t>SECRETARÍA GENERAL</t>
  </si>
  <si>
    <t>1707979504</t>
  </si>
  <si>
    <t>Trejo Ordóñez Fabián Patricio</t>
  </si>
  <si>
    <t>1804459764</t>
  </si>
  <si>
    <t>Arteaga Arevalo Amanda Lizeth</t>
  </si>
  <si>
    <t>SEGUNDA VICEPRESIDENCIA</t>
  </si>
  <si>
    <t>Carlos Alberto Bergmann Reyna</t>
  </si>
  <si>
    <t>1303164410</t>
  </si>
  <si>
    <t>Funcionario</t>
  </si>
  <si>
    <t>Dependencia Padre</t>
  </si>
  <si>
    <t>Escala Salarial</t>
  </si>
  <si>
    <t>Denominación</t>
  </si>
  <si>
    <t>Desde Fecha</t>
  </si>
  <si>
    <t>RESPONSABLE</t>
  </si>
  <si>
    <t>CC</t>
  </si>
  <si>
    <t>TITULAR</t>
  </si>
  <si>
    <t>Gomez Prado Edgar Rodolfo</t>
  </si>
  <si>
    <t>0201729993</t>
  </si>
  <si>
    <t>0102264231</t>
  </si>
  <si>
    <t>Encalada Soto Xavier Alejandro</t>
  </si>
  <si>
    <t>Especialista</t>
  </si>
  <si>
    <t>Proaño Jurado Christian Fabricio</t>
  </si>
  <si>
    <t>1714592951</t>
  </si>
  <si>
    <t>Lucero Villarreal Diego Francisco</t>
  </si>
  <si>
    <t>0400722195</t>
  </si>
  <si>
    <t>Parra Toazo Carlos Fernando</t>
  </si>
  <si>
    <t>1713823845</t>
  </si>
  <si>
    <t>Piña Once Esthela Del Rocio</t>
  </si>
  <si>
    <t>0703449918</t>
  </si>
  <si>
    <t>Alvarez Salas Blanca Lissette</t>
  </si>
  <si>
    <t>Guamán Leime Richard Eduardo</t>
  </si>
  <si>
    <t>Vargas Salazar Jose Andres</t>
  </si>
  <si>
    <t>Analista Legislativo</t>
  </si>
  <si>
    <t>Perez Acosta Marjory Elizabeth</t>
  </si>
  <si>
    <t>0201779725</t>
  </si>
  <si>
    <t>Unda Chora Beatriz Elizabeth</t>
  </si>
  <si>
    <t>Pesantez Urgiles Miguel Hernan</t>
  </si>
  <si>
    <t>0301225439</t>
  </si>
  <si>
    <t>0201886124</t>
  </si>
  <si>
    <t>Arias Chico Fatima de Lourdes</t>
  </si>
  <si>
    <t>GESTIÓN DE BIENES Y EXISTENCIAS- COORDINACIÓN GENERAL
ADMINISTRATIVA</t>
  </si>
  <si>
    <t>Vaca Vaca Eduardo Geovanny</t>
  </si>
  <si>
    <t>1711402865</t>
  </si>
  <si>
    <t>0202344602</t>
  </si>
  <si>
    <t>Yumbay Taris Maria Fernanda</t>
  </si>
  <si>
    <t>0202470720</t>
  </si>
  <si>
    <t>Vasconez Jimenez Karen Silvana</t>
  </si>
  <si>
    <t>Administrador (a) General</t>
  </si>
  <si>
    <t>0301323275</t>
  </si>
  <si>
    <t>Mayancela Loja Lorenzo</t>
  </si>
  <si>
    <t>PARTICIPACIÓN CIUDADANA</t>
  </si>
  <si>
    <t>Frías Casco Dora María</t>
  </si>
  <si>
    <t>0915825905</t>
  </si>
  <si>
    <t>0301697223</t>
  </si>
  <si>
    <t>Gonzalez Urgiles Melida Raquel</t>
  </si>
  <si>
    <t>0301713194</t>
  </si>
  <si>
    <t>Chacha Tandazo Celia Luzmila</t>
  </si>
  <si>
    <t>Yuxi Bustos Alexandra De La Nube</t>
  </si>
  <si>
    <t>0302290549</t>
  </si>
  <si>
    <t>0301832598</t>
  </si>
  <si>
    <t>Barreto Navas Ruben Alejandro</t>
  </si>
  <si>
    <t>GESTIÓN DE PATROCINIO INSTITUCIONAL</t>
  </si>
  <si>
    <t>Lagla Toapanta Edgar Fabian</t>
  </si>
  <si>
    <t>0502153414</t>
  </si>
  <si>
    <t>0302086608</t>
  </si>
  <si>
    <t>Ramirez León  Francisco Javier</t>
  </si>
  <si>
    <t>Coordinador General Financiero</t>
  </si>
  <si>
    <t>0302995683</t>
  </si>
  <si>
    <t>Ramirez Leon Alvaro Sebastian</t>
  </si>
  <si>
    <t>0401510714</t>
  </si>
  <si>
    <t>Maya Teran Sofia Michelle</t>
  </si>
  <si>
    <t>Vivas Pérez Gonzalo Patricio</t>
  </si>
  <si>
    <t xml:space="preserve">Gutierrez Ruiz Digna Isabel </t>
  </si>
  <si>
    <t>0923448344</t>
  </si>
  <si>
    <t>0503174435</t>
  </si>
  <si>
    <t>Guacho Salme Pamela del Carmen</t>
  </si>
  <si>
    <t>0503376519</t>
  </si>
  <si>
    <t>Arias Herrera Jorge Luis</t>
  </si>
  <si>
    <t>0503397929</t>
  </si>
  <si>
    <t>Cofre Herrera Elvia Beatriz</t>
  </si>
  <si>
    <t>0603027038</t>
  </si>
  <si>
    <t>Romero Villacrés Maritza Jannet</t>
  </si>
  <si>
    <t>0603889932</t>
  </si>
  <si>
    <t>Coloma Braganza Daniel Alejandro</t>
  </si>
  <si>
    <t>Especialista Senior de Gestión Administrativa del Talento Humano</t>
  </si>
  <si>
    <t>0603980152</t>
  </si>
  <si>
    <t>Garcia Manzano Marcia Veronica</t>
  </si>
  <si>
    <t>Guardalmacén de Existencias</t>
  </si>
  <si>
    <t>Gutierrez Ruiz Digna Isabel</t>
  </si>
  <si>
    <t>Coordinador(a) General de Comunicación Institucional</t>
  </si>
  <si>
    <t>Teran Endara Sandra Rocio</t>
  </si>
  <si>
    <t>Especialista Senior de Plataforma</t>
  </si>
  <si>
    <t>Asistente de Servicios Tecnológicos de Audio, Video y Voto Electrónico</t>
  </si>
  <si>
    <t>Moran Ruiz Maria Ermelinda</t>
  </si>
  <si>
    <t>Asistente de Tesoreria</t>
  </si>
  <si>
    <t>1104020084</t>
  </si>
  <si>
    <t>Jimenez Parra Daysi Guicela</t>
  </si>
  <si>
    <t>Erazo Galarza Daniela Estefania</t>
  </si>
  <si>
    <t>1203567092</t>
  </si>
  <si>
    <t>Gutierrez Pazmiño Jose Wladimir</t>
  </si>
  <si>
    <t>Conforme Rodriguez Carlos Alberto</t>
  </si>
  <si>
    <t>1305004002</t>
  </si>
  <si>
    <t>Jimenez Mendoza Dolores Monica</t>
  </si>
  <si>
    <t>GESTIÓN DE ESCUELA LEGISLATIVA</t>
  </si>
  <si>
    <t>Perero Yagual Maria Auxiliadora</t>
  </si>
  <si>
    <t>2100531710</t>
  </si>
  <si>
    <t>1500773609</t>
  </si>
  <si>
    <t>Guerrero Vasquez Betsabe Moncerrate</t>
  </si>
  <si>
    <t>Naula Laines Segundo Jose</t>
  </si>
  <si>
    <t>Albañil</t>
  </si>
  <si>
    <t>1705409538</t>
  </si>
  <si>
    <t>Cobos Benalcazar Fanny Maria del Pilar</t>
  </si>
  <si>
    <t>1706589726</t>
  </si>
  <si>
    <t>Olmedo Torres Marcelo Rodrigo</t>
  </si>
  <si>
    <t>Médico Institucional</t>
  </si>
  <si>
    <t>Ortiz González Edgar Guillermo</t>
  </si>
  <si>
    <t>Auxiliar de Mantenimiento</t>
  </si>
  <si>
    <t>1710284066</t>
  </si>
  <si>
    <t>Chimborazo Quishpe Consuelo Marleny</t>
  </si>
  <si>
    <t>1710312909</t>
  </si>
  <si>
    <t>Tello Coque Ivan Giovanny</t>
  </si>
  <si>
    <t>1710681865</t>
  </si>
  <si>
    <t>Lemarie Acosta Maria Cristina</t>
  </si>
  <si>
    <t>1712335171</t>
  </si>
  <si>
    <t>Bernal Perez Monica Alexandra</t>
  </si>
  <si>
    <t>Especialista Senior de Tesoreria</t>
  </si>
  <si>
    <t>Torres Cueva Veronica Patricia</t>
  </si>
  <si>
    <t>Rosero Garcia Rodrigo Giovanny</t>
  </si>
  <si>
    <t>Asistente de Operaciones Tecnologicas</t>
  </si>
  <si>
    <t>Camacho Espinosa María Soledad</t>
  </si>
  <si>
    <t>1713739397</t>
  </si>
  <si>
    <t>Vargas Sarango Monica Guadalupe</t>
  </si>
  <si>
    <t>Coordinador(a) General de Talento Humano</t>
  </si>
  <si>
    <t>Coordinador(a) General de Asesoría Jurídica</t>
  </si>
  <si>
    <t>Diseñador/a Multimedia</t>
  </si>
  <si>
    <t>Monge Paucar Diego Xavier</t>
  </si>
  <si>
    <t>1716182991</t>
  </si>
  <si>
    <t>Garces Roman Steven David</t>
  </si>
  <si>
    <t>Perez Ayala Carlos Enrique</t>
  </si>
  <si>
    <t>Coordinador(a) General de Tecnologías de Información y Comunicación</t>
  </si>
  <si>
    <t>Proaño Velez Andrea Sulay</t>
  </si>
  <si>
    <t>1717264590</t>
  </si>
  <si>
    <t>Villavicencio Cardenas Sandra Lucia</t>
  </si>
  <si>
    <t>Servidor Legislativo 7</t>
  </si>
  <si>
    <t>1717874844</t>
  </si>
  <si>
    <t>Gaibor Estevez Jimmy Geovanny</t>
  </si>
  <si>
    <t>Especialista Junior de Presupuesto</t>
  </si>
  <si>
    <t>Rosales Pavon Karina Geovanna</t>
  </si>
  <si>
    <t>1718523101</t>
  </si>
  <si>
    <t>Regalado Egas Yadira Paola</t>
  </si>
  <si>
    <t>1718611492</t>
  </si>
  <si>
    <t>Reyes Rubio Daniel Alejandro</t>
  </si>
  <si>
    <t>Flores Velez Carolina Elizabeth</t>
  </si>
  <si>
    <t>1720133733</t>
  </si>
  <si>
    <t>Valdez Alvarez Angel Roberto</t>
  </si>
  <si>
    <t>Especialista Senior de Asesoria Juridica</t>
  </si>
  <si>
    <t>1720622172</t>
  </si>
  <si>
    <t>Caicedo Estrella Daniela Dominicq</t>
  </si>
  <si>
    <t>1721520011</t>
  </si>
  <si>
    <t>Toaquiza Vega Hilda Delfina</t>
  </si>
  <si>
    <t>1722400866</t>
  </si>
  <si>
    <t>Escalante Burgos Shirley Nathalia</t>
  </si>
  <si>
    <t>Lara Segura Maria Cristina</t>
  </si>
  <si>
    <t>Tello Flores Evelyn Michelle</t>
  </si>
  <si>
    <t>Rehabilitador/a Físico Institucional</t>
  </si>
  <si>
    <t>Lozada Herrera Adriana Estefania</t>
  </si>
  <si>
    <t>Montachana Guayanlema Carlos Andres</t>
  </si>
  <si>
    <t>Naranjo Borja Diana Alejandra</t>
  </si>
  <si>
    <t>Asistente Jurídico</t>
  </si>
  <si>
    <t>Chinchay Ramon Jinsop Adrian</t>
  </si>
  <si>
    <t>Ramos Rodriguez John Carlos</t>
  </si>
  <si>
    <t>Sobresaliente</t>
  </si>
  <si>
    <t>Muy Bueno</t>
  </si>
  <si>
    <t>Bueno</t>
  </si>
  <si>
    <t>Regular</t>
  </si>
  <si>
    <t>Insuficiente</t>
  </si>
  <si>
    <t>Alta</t>
  </si>
  <si>
    <t>Media</t>
  </si>
  <si>
    <t>Baja</t>
  </si>
  <si>
    <t>SERVIDOR</t>
  </si>
  <si>
    <t>NOMBRES Y APELLIDOS DEL SERVIDOR</t>
  </si>
  <si>
    <t>NOMBRES Y APELLIDOS DEL JEFE INMEDIATO</t>
  </si>
  <si>
    <t>Firma:</t>
  </si>
  <si>
    <t>NO. DE CÉDULA DEL JEFE INMEDIATO</t>
  </si>
  <si>
    <t>ASIGNACIÓN DE RESPONSABILIDADES PARA LA EVALUACIÓN DEL DESEMPEÑO PARA EL AÑO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</si>
</sst>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dd\.mm\.yyyy"/>
  </numFmts>
  <fonts count="28" x14ac:knownFonts="1">
    <font>
      <sz val="10"/>
      <name val="Arial"/>
      <family val="2"/>
      <charset val="1"/>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sz val="18"/>
      <color rgb="FF000000"/>
      <name val="Arial"/>
      <family val="2"/>
      <charset val="1"/>
    </font>
    <font>
      <sz val="12"/>
      <color rgb="FF000000"/>
      <name val="Arial"/>
      <family val="2"/>
      <charset val="1"/>
    </font>
    <font>
      <b/>
      <sz val="24"/>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sz val="10"/>
      <name val="Arial"/>
      <family val="2"/>
      <charset val="1"/>
    </font>
    <font>
      <b/>
      <sz val="12"/>
      <name val="Arial"/>
      <family val="2"/>
      <charset val="1"/>
    </font>
    <font>
      <sz val="8"/>
      <name val="Arial"/>
      <family val="2"/>
      <charset val="1"/>
    </font>
    <font>
      <sz val="10"/>
      <name val="Arial"/>
      <family val="2"/>
    </font>
    <font>
      <b/>
      <i/>
      <sz val="10"/>
      <name val="Arial"/>
      <family val="2"/>
      <charset val="1"/>
    </font>
    <font>
      <sz val="9"/>
      <name val="Times New Roman"/>
      <family val="1"/>
      <charset val="1"/>
    </font>
    <font>
      <sz val="9"/>
      <name val="Arial"/>
      <family val="2"/>
      <charset val="1"/>
    </font>
    <font>
      <sz val="8"/>
      <name val="Times New Roman"/>
      <family val="1"/>
      <charset val="1"/>
    </font>
    <font>
      <b/>
      <sz val="14"/>
      <color rgb="FF000080"/>
      <name val="Arial"/>
      <family val="2"/>
      <charset val="1"/>
    </font>
    <font>
      <b/>
      <sz val="8"/>
      <color rgb="FF000080"/>
      <name val="Arial"/>
      <family val="2"/>
      <charset val="1"/>
    </font>
    <font>
      <sz val="8"/>
      <color rgb="FF000080"/>
      <name val="Arial"/>
      <family val="2"/>
      <charset val="1"/>
    </font>
    <font>
      <sz val="10"/>
      <color rgb="FF000000"/>
      <name val="Arial"/>
      <family val="2"/>
      <charset val="1"/>
    </font>
    <font>
      <sz val="10"/>
      <name val="Arial"/>
      <family val="2"/>
      <charset val="1"/>
    </font>
    <font>
      <sz val="8"/>
      <color indexed="81"/>
      <name val="Times New Roman"/>
      <family val="1"/>
    </font>
    <font>
      <sz val="7"/>
      <color indexed="81"/>
      <name val="Times New Roman"/>
      <family val="1"/>
    </font>
  </fonts>
  <fills count="15">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BCC"/>
      </patternFill>
    </fill>
    <fill>
      <patternFill patternType="solid">
        <fgColor rgb="FFCCCCCC"/>
        <bgColor rgb="FFC0C0C0"/>
      </patternFill>
    </fill>
    <fill>
      <patternFill patternType="solid">
        <fgColor rgb="FFFFFBCC"/>
        <bgColor rgb="FFFFFFCC"/>
      </patternFill>
    </fill>
    <fill>
      <patternFill patternType="solid">
        <fgColor rgb="FFC0C0C0"/>
        <bgColor rgb="FFCCCCCC"/>
      </patternFill>
    </fill>
    <fill>
      <patternFill patternType="solid">
        <fgColor rgb="FFFFFF00"/>
        <bgColor rgb="FFFFF200"/>
      </patternFill>
    </fill>
    <fill>
      <patternFill patternType="solid">
        <fgColor rgb="FFFFFFFF"/>
        <bgColor rgb="FFFFFFCC"/>
      </patternFill>
    </fill>
    <fill>
      <patternFill patternType="solid">
        <fgColor rgb="FFFFF200"/>
        <bgColor rgb="FFFFFF00"/>
      </patternFill>
    </fill>
  </fills>
  <borders count="22">
    <border>
      <left/>
      <right/>
      <top/>
      <bottom/>
      <diagonal/>
    </border>
    <border>
      <left style="thin">
        <color rgb="FF808080"/>
      </left>
      <right style="thin">
        <color rgb="FF808080"/>
      </right>
      <top style="thin">
        <color rgb="FF808080"/>
      </top>
      <bottom style="thin">
        <color rgb="FF808080"/>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5">
    <xf numFmtId="0" fontId="0" fillId="0" borderId="0"/>
    <xf numFmtId="0" fontId="1" fillId="2" borderId="0" applyBorder="0" applyProtection="0"/>
    <xf numFmtId="0" fontId="1" fillId="2" borderId="0" applyBorder="0" applyProtection="0"/>
    <xf numFmtId="0" fontId="1" fillId="3" borderId="0" applyBorder="0" applyProtection="0"/>
    <xf numFmtId="0" fontId="1" fillId="3" borderId="0" applyBorder="0" applyProtection="0"/>
    <xf numFmtId="0" fontId="2" fillId="4" borderId="0" applyBorder="0" applyProtection="0"/>
    <xf numFmtId="0" fontId="2" fillId="4" borderId="0" applyBorder="0" applyProtection="0"/>
    <xf numFmtId="0" fontId="2" fillId="0" borderId="0" applyBorder="0" applyProtection="0"/>
    <xf numFmtId="0" fontId="2" fillId="0" borderId="0" applyBorder="0" applyProtection="0"/>
    <xf numFmtId="0" fontId="3" fillId="5" borderId="0" applyBorder="0" applyProtection="0"/>
    <xf numFmtId="0" fontId="3" fillId="5" borderId="0" applyBorder="0" applyProtection="0"/>
    <xf numFmtId="0" fontId="4" fillId="6" borderId="0" applyBorder="0" applyProtection="0"/>
    <xf numFmtId="0" fontId="4" fillId="6" borderId="0" applyBorder="0" applyProtection="0"/>
    <xf numFmtId="0" fontId="5" fillId="0" borderId="0" applyBorder="0" applyProtection="0"/>
    <xf numFmtId="0" fontId="5" fillId="0" borderId="0" applyBorder="0" applyProtection="0"/>
    <xf numFmtId="0" fontId="6" fillId="7" borderId="0" applyBorder="0" applyProtection="0"/>
    <xf numFmtId="0" fontId="6" fillId="7" borderId="0" applyBorder="0" applyProtection="0"/>
    <xf numFmtId="0" fontId="7" fillId="0" borderId="0" applyBorder="0" applyProtection="0"/>
    <xf numFmtId="0" fontId="7" fillId="0" borderId="0" applyBorder="0" applyProtection="0"/>
    <xf numFmtId="0" fontId="8" fillId="0" borderId="0" applyBorder="0" applyProtection="0"/>
    <xf numFmtId="0" fontId="8" fillId="0" borderId="0" applyBorder="0" applyProtection="0"/>
    <xf numFmtId="0" fontId="9" fillId="0" borderId="0" applyBorder="0" applyProtection="0"/>
    <xf numFmtId="0" fontId="9" fillId="0" borderId="0" applyBorder="0" applyProtection="0"/>
    <xf numFmtId="0" fontId="10" fillId="0" borderId="0" applyBorder="0" applyProtection="0"/>
    <xf numFmtId="0" fontId="11" fillId="8" borderId="0" applyBorder="0" applyProtection="0"/>
    <xf numFmtId="0" fontId="11" fillId="8" borderId="0" applyBorder="0" applyProtection="0"/>
    <xf numFmtId="0" fontId="25" fillId="0" borderId="0"/>
    <xf numFmtId="0" fontId="12" fillId="8" borderId="1" applyProtection="0"/>
    <xf numFmtId="0" fontId="12" fillId="8" borderId="1" applyProtection="0"/>
    <xf numFmtId="0" fontId="25" fillId="0" borderId="0" applyBorder="0" applyProtection="0"/>
    <xf numFmtId="0" fontId="25" fillId="0" borderId="0" applyBorder="0" applyProtection="0"/>
    <xf numFmtId="0" fontId="25" fillId="0" borderId="0" applyBorder="0" applyProtection="0"/>
    <xf numFmtId="0" fontId="25" fillId="0" borderId="0" applyBorder="0" applyProtection="0"/>
    <xf numFmtId="0" fontId="3" fillId="0" borderId="0" applyBorder="0" applyProtection="0"/>
    <xf numFmtId="0" fontId="3" fillId="0" borderId="0" applyBorder="0" applyProtection="0"/>
  </cellStyleXfs>
  <cellXfs count="114">
    <xf numFmtId="0" fontId="0" fillId="0" borderId="0" xfId="0"/>
    <xf numFmtId="0" fontId="0" fillId="0" borderId="3" xfId="0" applyBorder="1" applyAlignment="1" applyProtection="1">
      <alignment horizontal="left" vertical="center" wrapText="1"/>
      <protection locked="0"/>
    </xf>
    <xf numFmtId="0" fontId="13" fillId="9" borderId="3" xfId="0" applyFont="1" applyFill="1" applyBorder="1" applyAlignment="1" applyProtection="1">
      <alignment horizontal="center" vertical="center"/>
      <protection hidden="1"/>
    </xf>
    <xf numFmtId="0" fontId="0" fillId="0" borderId="0" xfId="0" applyAlignment="1" applyProtection="1">
      <alignment vertical="center"/>
      <protection hidden="1"/>
    </xf>
    <xf numFmtId="0" fontId="13" fillId="0" borderId="2" xfId="0" applyFont="1" applyBorder="1" applyAlignment="1" applyProtection="1">
      <alignment horizontal="center" vertical="center"/>
      <protection hidden="1"/>
    </xf>
    <xf numFmtId="0" fontId="15" fillId="9" borderId="3" xfId="0" applyFont="1" applyFill="1" applyBorder="1" applyAlignment="1" applyProtection="1">
      <alignment horizontal="left" vertical="center" wrapText="1"/>
      <protection hidden="1"/>
    </xf>
    <xf numFmtId="0" fontId="15" fillId="9" borderId="3" xfId="0" applyFont="1" applyFill="1" applyBorder="1" applyAlignment="1" applyProtection="1">
      <alignment vertical="center" wrapText="1"/>
      <protection hidden="1"/>
    </xf>
    <xf numFmtId="0" fontId="13" fillId="9" borderId="3"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protection hidden="1"/>
    </xf>
    <xf numFmtId="0" fontId="0" fillId="0" borderId="3" xfId="0" applyBorder="1" applyAlignment="1" applyProtection="1">
      <alignment horizontal="center" vertical="center" wrapText="1"/>
      <protection locked="0"/>
    </xf>
    <xf numFmtId="0" fontId="0" fillId="0" borderId="3" xfId="0" applyBorder="1" applyAlignment="1" applyProtection="1">
      <alignment horizontal="center" vertical="center"/>
      <protection locked="0" hidden="1"/>
    </xf>
    <xf numFmtId="0" fontId="0" fillId="0" borderId="0" xfId="0" applyAlignment="1" applyProtection="1">
      <alignment horizontal="center" vertical="center"/>
      <protection hidden="1"/>
    </xf>
    <xf numFmtId="0" fontId="17" fillId="0" borderId="0" xfId="0" applyFont="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Protection="1">
      <protection locked="0"/>
    </xf>
    <xf numFmtId="0" fontId="15" fillId="0" borderId="0" xfId="0" applyFont="1" applyAlignment="1" applyProtection="1">
      <alignment vertical="center" wrapText="1"/>
      <protection locked="0"/>
    </xf>
    <xf numFmtId="0" fontId="22" fillId="11" borderId="7" xfId="0" applyFont="1" applyFill="1" applyBorder="1" applyAlignment="1" applyProtection="1">
      <alignment horizontal="center" vertical="center" wrapText="1"/>
      <protection hidden="1"/>
    </xf>
    <xf numFmtId="0" fontId="22" fillId="11" borderId="8" xfId="0" applyFont="1" applyFill="1" applyBorder="1" applyAlignment="1" applyProtection="1">
      <alignment horizontal="center" vertical="center" wrapText="1"/>
      <protection hidden="1"/>
    </xf>
    <xf numFmtId="0" fontId="23" fillId="0" borderId="9" xfId="0" applyFont="1" applyBorder="1" applyAlignment="1" applyProtection="1">
      <alignment vertical="center" wrapText="1"/>
      <protection hidden="1"/>
    </xf>
    <xf numFmtId="0" fontId="23" fillId="0" borderId="6" xfId="0" applyFont="1" applyBorder="1" applyAlignment="1" applyProtection="1">
      <alignment vertical="center" wrapText="1"/>
      <protection hidden="1"/>
    </xf>
    <xf numFmtId="0" fontId="23" fillId="0" borderId="0" xfId="0" applyFont="1" applyAlignment="1" applyProtection="1">
      <alignment vertical="center" wrapText="1"/>
      <protection hidden="1"/>
    </xf>
    <xf numFmtId="0" fontId="23" fillId="0" borderId="10" xfId="0" applyFont="1" applyBorder="1" applyAlignment="1" applyProtection="1">
      <alignment vertical="center" wrapText="1"/>
      <protection hidden="1"/>
    </xf>
    <xf numFmtId="0" fontId="23" fillId="0" borderId="11" xfId="0" applyFont="1" applyBorder="1" applyAlignment="1" applyProtection="1">
      <alignment vertical="center" wrapText="1"/>
      <protection hidden="1"/>
    </xf>
    <xf numFmtId="0" fontId="15" fillId="0" borderId="10" xfId="0" applyFont="1" applyBorder="1" applyProtection="1">
      <protection locked="0"/>
    </xf>
    <xf numFmtId="0" fontId="23" fillId="0" borderId="10" xfId="0" applyFont="1" applyBorder="1" applyAlignment="1" applyProtection="1">
      <alignment vertical="center" wrapText="1"/>
      <protection locked="0"/>
    </xf>
    <xf numFmtId="0" fontId="23" fillId="0" borderId="11" xfId="0" applyFont="1" applyBorder="1" applyAlignment="1" applyProtection="1">
      <alignment vertical="center" wrapText="1"/>
      <protection locked="0"/>
    </xf>
    <xf numFmtId="0" fontId="15" fillId="0" borderId="3" xfId="0" applyFont="1" applyBorder="1" applyAlignment="1">
      <alignment horizontal="left" vertical="center" wrapText="1"/>
    </xf>
    <xf numFmtId="0" fontId="23" fillId="0" borderId="10" xfId="0" applyFont="1" applyBorder="1" applyAlignment="1" applyProtection="1">
      <alignment wrapText="1"/>
      <protection locked="0"/>
    </xf>
    <xf numFmtId="0" fontId="23" fillId="0" borderId="7" xfId="0" applyFont="1" applyBorder="1" applyAlignment="1" applyProtection="1">
      <alignment vertical="center" wrapText="1"/>
      <protection locked="0"/>
    </xf>
    <xf numFmtId="0" fontId="23" fillId="0" borderId="8" xfId="0" applyFont="1" applyBorder="1" applyAlignment="1" applyProtection="1">
      <alignment vertical="center" wrapText="1"/>
      <protection locked="0"/>
    </xf>
    <xf numFmtId="49" fontId="0" fillId="0" borderId="0" xfId="0" applyNumberFormat="1"/>
    <xf numFmtId="49" fontId="13" fillId="0" borderId="12" xfId="0" applyNumberFormat="1" applyFont="1" applyBorder="1" applyAlignment="1">
      <alignment wrapText="1"/>
    </xf>
    <xf numFmtId="0" fontId="16" fillId="0" borderId="10" xfId="0" applyFont="1" applyBorder="1"/>
    <xf numFmtId="164" fontId="16" fillId="0" borderId="10" xfId="0" applyNumberFormat="1" applyFont="1" applyBorder="1"/>
    <xf numFmtId="165" fontId="16" fillId="0" borderId="10" xfId="0" applyNumberFormat="1" applyFont="1" applyBorder="1"/>
    <xf numFmtId="49" fontId="0" fillId="0" borderId="10" xfId="0" applyNumberFormat="1" applyBorder="1"/>
    <xf numFmtId="0" fontId="0" fillId="0" borderId="10" xfId="0" applyBorder="1"/>
    <xf numFmtId="0" fontId="0" fillId="12" borderId="10" xfId="0" applyFill="1" applyBorder="1"/>
    <xf numFmtId="165" fontId="0" fillId="0" borderId="10" xfId="0" applyNumberFormat="1" applyBorder="1"/>
    <xf numFmtId="0" fontId="0" fillId="12" borderId="0" xfId="0" applyFill="1" applyAlignment="1">
      <alignment wrapText="1"/>
    </xf>
    <xf numFmtId="49" fontId="0" fillId="12" borderId="10" xfId="0" applyNumberFormat="1" applyFill="1" applyBorder="1"/>
    <xf numFmtId="0" fontId="16" fillId="13" borderId="10" xfId="0" applyFont="1" applyFill="1" applyBorder="1"/>
    <xf numFmtId="165" fontId="16" fillId="13" borderId="10" xfId="0" applyNumberFormat="1" applyFont="1" applyFill="1" applyBorder="1"/>
    <xf numFmtId="0" fontId="16" fillId="13" borderId="13" xfId="0" applyFont="1" applyFill="1" applyBorder="1"/>
    <xf numFmtId="49" fontId="0" fillId="13" borderId="0" xfId="0" applyNumberFormat="1" applyFill="1"/>
    <xf numFmtId="0" fontId="0" fillId="13" borderId="0" xfId="0" applyFill="1"/>
    <xf numFmtId="49" fontId="16" fillId="0" borderId="10" xfId="0" applyNumberFormat="1" applyFont="1" applyBorder="1"/>
    <xf numFmtId="0" fontId="0" fillId="13" borderId="10" xfId="0" applyFill="1" applyBorder="1"/>
    <xf numFmtId="49" fontId="0" fillId="13" borderId="10" xfId="0" applyNumberFormat="1" applyFill="1" applyBorder="1"/>
    <xf numFmtId="0" fontId="0" fillId="14" borderId="0" xfId="0" applyFill="1"/>
    <xf numFmtId="0" fontId="16" fillId="0" borderId="0" xfId="0" applyFont="1"/>
    <xf numFmtId="49" fontId="24" fillId="0" borderId="0" xfId="0" applyNumberFormat="1" applyFont="1"/>
    <xf numFmtId="0" fontId="24" fillId="0" borderId="10" xfId="0" applyFont="1" applyBorder="1"/>
    <xf numFmtId="165" fontId="24" fillId="0" borderId="10" xfId="0" applyNumberFormat="1" applyFont="1" applyBorder="1"/>
    <xf numFmtId="0" fontId="24" fillId="0" borderId="0" xfId="0" applyFont="1"/>
    <xf numFmtId="49" fontId="24" fillId="0" borderId="10" xfId="0" applyNumberFormat="1" applyFont="1" applyBorder="1"/>
    <xf numFmtId="0" fontId="24" fillId="0" borderId="10" xfId="0" applyFont="1" applyBorder="1" applyAlignment="1">
      <alignment wrapText="1"/>
    </xf>
    <xf numFmtId="0" fontId="24" fillId="0" borderId="0" xfId="0" applyFont="1" applyAlignment="1">
      <alignment wrapText="1"/>
    </xf>
    <xf numFmtId="0" fontId="16" fillId="0" borderId="10" xfId="0" applyFont="1" applyBorder="1" applyAlignment="1">
      <alignment wrapText="1"/>
    </xf>
    <xf numFmtId="0" fontId="0" fillId="0" borderId="0" xfId="0" applyAlignment="1">
      <alignment horizontal="right"/>
    </xf>
    <xf numFmtId="0" fontId="16" fillId="0" borderId="0" xfId="0" applyFont="1" applyAlignment="1">
      <alignment wrapText="1"/>
    </xf>
    <xf numFmtId="49" fontId="16" fillId="13" borderId="10" xfId="0" applyNumberFormat="1" applyFont="1" applyFill="1" applyBorder="1"/>
    <xf numFmtId="0" fontId="0" fillId="13" borderId="0" xfId="0" applyFill="1" applyAlignment="1">
      <alignment horizontal="right"/>
    </xf>
    <xf numFmtId="49" fontId="16" fillId="0" borderId="10" xfId="0" applyNumberFormat="1" applyFont="1" applyBorder="1" applyAlignment="1">
      <alignment horizontal="left"/>
    </xf>
    <xf numFmtId="49" fontId="0" fillId="13" borderId="3" xfId="0" applyNumberFormat="1" applyFill="1" applyBorder="1"/>
    <xf numFmtId="49" fontId="16" fillId="0" borderId="3" xfId="0" applyNumberFormat="1" applyFont="1" applyBorder="1" applyAlignment="1">
      <alignment wrapText="1"/>
    </xf>
    <xf numFmtId="0" fontId="0" fillId="0" borderId="3" xfId="0" applyBorder="1"/>
    <xf numFmtId="0" fontId="0" fillId="0" borderId="3" xfId="0" applyBorder="1" applyAlignment="1">
      <alignment horizontal="right"/>
    </xf>
    <xf numFmtId="49" fontId="0" fillId="0" borderId="3" xfId="0" applyNumberFormat="1" applyBorder="1"/>
    <xf numFmtId="49" fontId="16" fillId="0" borderId="3" xfId="0" applyNumberFormat="1" applyFont="1" applyBorder="1"/>
    <xf numFmtId="0" fontId="0" fillId="0" borderId="3" xfId="0" applyBorder="1" applyAlignment="1">
      <alignment wrapText="1"/>
    </xf>
    <xf numFmtId="0" fontId="16" fillId="0" borderId="3" xfId="0" applyFont="1" applyBorder="1" applyAlignment="1">
      <alignment wrapText="1"/>
    </xf>
    <xf numFmtId="49" fontId="1" fillId="2" borderId="3" xfId="0" applyNumberFormat="1" applyFont="1" applyFill="1" applyBorder="1" applyAlignment="1">
      <alignment wrapText="1"/>
    </xf>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right"/>
    </xf>
    <xf numFmtId="49" fontId="1" fillId="2" borderId="3" xfId="0" applyNumberFormat="1" applyFont="1" applyFill="1" applyBorder="1"/>
    <xf numFmtId="49" fontId="16" fillId="13" borderId="3" xfId="0" applyNumberFormat="1" applyFont="1" applyFill="1" applyBorder="1"/>
    <xf numFmtId="0" fontId="0" fillId="13" borderId="3" xfId="0" applyFill="1" applyBorder="1"/>
    <xf numFmtId="0" fontId="0" fillId="13" borderId="3" xfId="0" applyFill="1" applyBorder="1" applyAlignment="1">
      <alignment horizontal="right"/>
    </xf>
    <xf numFmtId="0" fontId="16" fillId="0" borderId="3" xfId="0" applyFont="1" applyBorder="1"/>
    <xf numFmtId="0" fontId="16" fillId="12" borderId="3" xfId="0" applyFont="1" applyFill="1" applyBorder="1"/>
    <xf numFmtId="0" fontId="0" fillId="12" borderId="3" xfId="0" applyFill="1" applyBorder="1"/>
    <xf numFmtId="0" fontId="0" fillId="0" borderId="14" xfId="0" applyBorder="1" applyAlignment="1" applyProtection="1">
      <alignment vertical="center"/>
      <protection hidden="1"/>
    </xf>
    <xf numFmtId="0" fontId="0" fillId="0" borderId="17" xfId="0" applyBorder="1" applyAlignment="1" applyProtection="1">
      <alignment vertical="center"/>
      <protection hidden="1"/>
    </xf>
    <xf numFmtId="0" fontId="0" fillId="0" borderId="18" xfId="0" applyBorder="1" applyAlignment="1" applyProtection="1">
      <alignment vertical="center"/>
      <protection hidden="1"/>
    </xf>
    <xf numFmtId="14" fontId="0" fillId="0" borderId="3" xfId="0" applyNumberFormat="1" applyBorder="1" applyAlignment="1" applyProtection="1">
      <alignment horizontal="left" vertical="center" wrapText="1"/>
      <protection locked="0"/>
    </xf>
    <xf numFmtId="0" fontId="17" fillId="0" borderId="19" xfId="0" applyFont="1" applyBorder="1" applyAlignment="1" applyProtection="1">
      <alignment horizontal="center" vertical="center"/>
      <protection hidden="1"/>
    </xf>
    <xf numFmtId="0" fontId="17" fillId="0" borderId="20" xfId="0" applyFont="1" applyBorder="1" applyAlignment="1" applyProtection="1">
      <alignment horizontal="center" vertical="center"/>
      <protection hidden="1"/>
    </xf>
    <xf numFmtId="0" fontId="17" fillId="0" borderId="21" xfId="0" applyFont="1" applyBorder="1" applyAlignment="1" applyProtection="1">
      <alignment horizontal="center" vertical="center"/>
      <protection hidden="1"/>
    </xf>
    <xf numFmtId="0" fontId="15" fillId="10" borderId="3" xfId="0" applyFont="1" applyFill="1" applyBorder="1" applyAlignment="1">
      <alignment horizontal="left" vertical="center"/>
    </xf>
    <xf numFmtId="0" fontId="0" fillId="10" borderId="3" xfId="0" applyFill="1" applyBorder="1" applyAlignment="1" applyProtection="1">
      <alignment horizontal="left" vertical="center" wrapText="1"/>
      <protection hidden="1"/>
    </xf>
    <xf numFmtId="0" fontId="19" fillId="0" borderId="15" xfId="0" applyFont="1" applyBorder="1" applyAlignment="1" applyProtection="1">
      <alignment horizontal="left" vertical="center"/>
      <protection hidden="1"/>
    </xf>
    <xf numFmtId="0" fontId="19" fillId="0" borderId="16" xfId="0" applyFont="1" applyBorder="1" applyAlignment="1" applyProtection="1">
      <alignment horizontal="left" vertical="center"/>
      <protection hidden="1"/>
    </xf>
    <xf numFmtId="0" fontId="0" fillId="0" borderId="0" xfId="0" applyAlignment="1" applyProtection="1">
      <alignment horizontal="left" vertical="center" wrapText="1"/>
      <protection hidden="1"/>
    </xf>
    <xf numFmtId="0" fontId="0" fillId="0" borderId="18" xfId="0" applyBorder="1" applyAlignment="1" applyProtection="1">
      <alignment horizontal="left" vertical="center" wrapText="1"/>
      <protection hidden="1"/>
    </xf>
    <xf numFmtId="49" fontId="0" fillId="0" borderId="0" xfId="0" applyNumberFormat="1" applyAlignment="1" applyProtection="1">
      <alignment horizontal="left" vertical="center" wrapText="1"/>
      <protection hidden="1"/>
    </xf>
    <xf numFmtId="0" fontId="13" fillId="9" borderId="3" xfId="0" applyFont="1" applyFill="1" applyBorder="1" applyAlignment="1" applyProtection="1">
      <alignment horizontal="center" vertical="center" wrapText="1"/>
      <protection hidden="1"/>
    </xf>
    <xf numFmtId="0" fontId="15" fillId="10" borderId="3" xfId="0" applyFont="1" applyFill="1" applyBorder="1" applyAlignment="1">
      <alignment horizontal="left" vertical="center" wrapText="1"/>
    </xf>
    <xf numFmtId="0" fontId="13" fillId="9" borderId="3" xfId="0" applyFont="1" applyFill="1" applyBorder="1" applyAlignment="1" applyProtection="1">
      <alignment horizontal="center" vertical="center"/>
      <protection hidden="1"/>
    </xf>
    <xf numFmtId="0" fontId="0" fillId="10" borderId="3" xfId="0" applyFill="1" applyBorder="1" applyAlignment="1" applyProtection="1">
      <alignment horizontal="left" vertical="center" wrapText="1"/>
      <protection locked="0" hidden="1"/>
    </xf>
    <xf numFmtId="0" fontId="0" fillId="0" borderId="3" xfId="0" applyBorder="1" applyAlignment="1" applyProtection="1">
      <alignment vertical="center" wrapText="1"/>
      <protection locked="0"/>
    </xf>
    <xf numFmtId="0" fontId="0" fillId="10" borderId="3" xfId="0" applyFill="1" applyBorder="1" applyAlignment="1" applyProtection="1">
      <alignment horizontal="center" vertical="center"/>
      <protection locked="0"/>
    </xf>
    <xf numFmtId="0" fontId="0" fillId="0" borderId="3" xfId="0" applyBorder="1" applyAlignment="1" applyProtection="1">
      <alignment horizontal="left" vertical="center" wrapText="1"/>
      <protection locked="0"/>
    </xf>
    <xf numFmtId="14" fontId="0" fillId="0" borderId="3" xfId="0" applyNumberFormat="1" applyBorder="1" applyAlignment="1" applyProtection="1">
      <alignment horizontal="left" vertical="center" wrapText="1"/>
      <protection locked="0" hidden="1"/>
    </xf>
    <xf numFmtId="0" fontId="0" fillId="0" borderId="3" xfId="0" applyBorder="1" applyAlignment="1" applyProtection="1">
      <alignment horizontal="left" vertical="center"/>
      <protection locked="0"/>
    </xf>
    <xf numFmtId="0" fontId="14" fillId="0" borderId="3" xfId="0" applyFont="1" applyBorder="1" applyAlignment="1" applyProtection="1">
      <alignment horizontal="center" vertical="center" wrapText="1"/>
      <protection hidden="1"/>
    </xf>
    <xf numFmtId="0" fontId="0" fillId="0" borderId="3" xfId="0" applyBorder="1" applyAlignment="1" applyProtection="1">
      <alignment horizontal="left" vertical="center" wrapText="1"/>
      <protection locked="0" hidden="1"/>
    </xf>
    <xf numFmtId="0" fontId="0" fillId="0" borderId="3" xfId="0" applyBorder="1" applyAlignment="1" applyProtection="1">
      <alignment vertical="center" wrapText="1"/>
      <protection locked="0" hidden="1"/>
    </xf>
    <xf numFmtId="49" fontId="16" fillId="0" borderId="3" xfId="0" applyNumberFormat="1" applyFont="1" applyBorder="1" applyProtection="1">
      <protection locked="0"/>
    </xf>
    <xf numFmtId="0" fontId="0" fillId="0" borderId="3" xfId="0" applyBorder="1" applyAlignment="1" applyProtection="1">
      <alignment vertical="center"/>
      <protection locked="0" hidden="1"/>
    </xf>
    <xf numFmtId="0" fontId="21" fillId="0" borderId="4" xfId="0" applyFont="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6" xfId="0" applyFont="1" applyFill="1" applyBorder="1" applyAlignment="1" applyProtection="1">
      <alignment horizontal="center" vertical="center" wrapText="1"/>
      <protection hidden="1"/>
    </xf>
  </cellXfs>
  <cellStyles count="35">
    <cellStyle name="Accent 1 1" xfId="1" xr:uid="{00000000-0005-0000-0000-000006000000}"/>
    <cellStyle name="Accent 1 2" xfId="2" xr:uid="{00000000-0005-0000-0000-000007000000}"/>
    <cellStyle name="Accent 2 1" xfId="3" xr:uid="{00000000-0005-0000-0000-000008000000}"/>
    <cellStyle name="Accent 2 2" xfId="4" xr:uid="{00000000-0005-0000-0000-000009000000}"/>
    <cellStyle name="Accent 3 1" xfId="5" xr:uid="{00000000-0005-0000-0000-00000A000000}"/>
    <cellStyle name="Accent 3 2" xfId="6" xr:uid="{00000000-0005-0000-0000-00000B000000}"/>
    <cellStyle name="Accent 4" xfId="7" xr:uid="{00000000-0005-0000-0000-00000C000000}"/>
    <cellStyle name="Accent 5" xfId="8" xr:uid="{00000000-0005-0000-0000-00000D000000}"/>
    <cellStyle name="Bad 1" xfId="9" xr:uid="{00000000-0005-0000-0000-00000E000000}"/>
    <cellStyle name="Bad 2" xfId="10" xr:uid="{00000000-0005-0000-0000-00000F000000}"/>
    <cellStyle name="Error 1" xfId="11" xr:uid="{00000000-0005-0000-0000-000010000000}"/>
    <cellStyle name="Error 2" xfId="12" xr:uid="{00000000-0005-0000-0000-000011000000}"/>
    <cellStyle name="Footnote 1" xfId="13" xr:uid="{00000000-0005-0000-0000-000012000000}"/>
    <cellStyle name="Footnote 2" xfId="14" xr:uid="{00000000-0005-0000-0000-000013000000}"/>
    <cellStyle name="Good 1" xfId="15" xr:uid="{00000000-0005-0000-0000-000014000000}"/>
    <cellStyle name="Good 2" xfId="16" xr:uid="{00000000-0005-0000-0000-000015000000}"/>
    <cellStyle name="Heading 1 1" xfId="17" xr:uid="{00000000-0005-0000-0000-000016000000}"/>
    <cellStyle name="Heading 1 2" xfId="18" xr:uid="{00000000-0005-0000-0000-000017000000}"/>
    <cellStyle name="Heading 2 1" xfId="19" xr:uid="{00000000-0005-0000-0000-000018000000}"/>
    <cellStyle name="Heading 2 2" xfId="20" xr:uid="{00000000-0005-0000-0000-000019000000}"/>
    <cellStyle name="Heading 3" xfId="21" xr:uid="{00000000-0005-0000-0000-00001A000000}"/>
    <cellStyle name="Heading 4" xfId="22" xr:uid="{00000000-0005-0000-0000-00001B000000}"/>
    <cellStyle name="Hyperlink 1" xfId="23" xr:uid="{00000000-0005-0000-0000-00001C000000}"/>
    <cellStyle name="Neutral 1" xfId="24" xr:uid="{00000000-0005-0000-0000-00001D000000}"/>
    <cellStyle name="Neutral 2" xfId="25" xr:uid="{00000000-0005-0000-0000-00001E000000}"/>
    <cellStyle name="Normal" xfId="0" builtinId="0"/>
    <cellStyle name="Normal 2" xfId="26" xr:uid="{00000000-0005-0000-0000-00001F000000}"/>
    <cellStyle name="Note 1" xfId="27" xr:uid="{00000000-0005-0000-0000-000020000000}"/>
    <cellStyle name="Note 2" xfId="28" xr:uid="{00000000-0005-0000-0000-000021000000}"/>
    <cellStyle name="Status 1" xfId="29" xr:uid="{00000000-0005-0000-0000-000022000000}"/>
    <cellStyle name="Status 2" xfId="30" xr:uid="{00000000-0005-0000-0000-000023000000}"/>
    <cellStyle name="Text 1" xfId="31" xr:uid="{00000000-0005-0000-0000-000024000000}"/>
    <cellStyle name="Text 2" xfId="32" xr:uid="{00000000-0005-0000-0000-000025000000}"/>
    <cellStyle name="Warning 1" xfId="33" xr:uid="{00000000-0005-0000-0000-000026000000}"/>
    <cellStyle name="Warning 2" xfId="34" xr:uid="{00000000-0005-0000-0000-000027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DDDDDD"/>
      <rgbColor rgb="FF660066"/>
      <rgbColor rgb="FFFF8080"/>
      <rgbColor rgb="FF0066CC"/>
      <rgbColor rgb="FFCCCCCC"/>
      <rgbColor rgb="FF000080"/>
      <rgbColor rgb="FFFF00FF"/>
      <rgbColor rgb="FFFFF200"/>
      <rgbColor rgb="FF00FFFF"/>
      <rgbColor rgb="FF800080"/>
      <rgbColor rgb="FF800000"/>
      <rgbColor rgb="FF008080"/>
      <rgbColor rgb="FF0000FF"/>
      <rgbColor rgb="FF00CCFF"/>
      <rgbColor rgb="FFCCFFFF"/>
      <rgbColor rgb="FFCCFFCC"/>
      <rgbColor rgb="FFFFFBCC"/>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42809</xdr:colOff>
      <xdr:row>0</xdr:row>
      <xdr:rowOff>128427</xdr:rowOff>
    </xdr:from>
    <xdr:to>
      <xdr:col>0</xdr:col>
      <xdr:colOff>1740206</xdr:colOff>
      <xdr:row>0</xdr:row>
      <xdr:rowOff>481600</xdr:rowOff>
    </xdr:to>
    <xdr:pic>
      <xdr:nvPicPr>
        <xdr:cNvPr id="3" name="Imagen 2">
          <a:extLst>
            <a:ext uri="{FF2B5EF4-FFF2-40B4-BE49-F238E27FC236}">
              <a16:creationId xmlns:a16="http://schemas.microsoft.com/office/drawing/2014/main" id="{B5A18DE1-D7A5-F6D8-22D5-94AE792EB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09" y="128427"/>
          <a:ext cx="1697397" cy="353173"/>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7"/>
  <sheetViews>
    <sheetView showGridLines="0" tabSelected="1" zoomScale="89" zoomScaleNormal="89" workbookViewId="0">
      <selection activeCell="A7" sqref="A7:F7"/>
    </sheetView>
  </sheetViews>
  <sheetFormatPr baseColWidth="10" defaultColWidth="9.85546875" defaultRowHeight="12.75" x14ac:dyDescent="0.2"/>
  <cols>
    <col min="1" max="1" width="26.42578125" style="3" customWidth="1"/>
    <col min="2" max="2" width="15.42578125" style="3" customWidth="1"/>
    <col min="3" max="3" width="20.85546875" style="3" customWidth="1"/>
    <col min="4" max="4" width="21.42578125" style="3" customWidth="1"/>
    <col min="5" max="5" width="14" style="3" customWidth="1"/>
    <col min="6" max="6" width="21.140625" style="3" customWidth="1"/>
    <col min="7" max="1024" width="9.85546875" style="3"/>
  </cols>
  <sheetData>
    <row r="1" spans="1:8" ht="66" customHeight="1" x14ac:dyDescent="0.2">
      <c r="A1" s="4"/>
      <c r="B1" s="106" t="s">
        <v>1558</v>
      </c>
      <c r="C1" s="106"/>
      <c r="D1" s="106"/>
      <c r="E1" s="106"/>
      <c r="F1" s="106"/>
    </row>
    <row r="2" spans="1:8" ht="29.85" customHeight="1" x14ac:dyDescent="0.2">
      <c r="A2" s="5" t="s">
        <v>0</v>
      </c>
      <c r="B2" s="107"/>
      <c r="C2" s="107"/>
      <c r="D2" s="107"/>
      <c r="E2" s="107"/>
      <c r="F2" s="107"/>
    </row>
    <row r="3" spans="1:8" ht="29.85" customHeight="1" x14ac:dyDescent="0.2">
      <c r="A3" s="5" t="s">
        <v>1554</v>
      </c>
      <c r="B3" s="107"/>
      <c r="C3" s="107"/>
      <c r="D3" s="5" t="s">
        <v>1</v>
      </c>
      <c r="E3" s="108"/>
      <c r="F3" s="108"/>
    </row>
    <row r="4" spans="1:8" ht="29.85" customHeight="1" x14ac:dyDescent="0.2">
      <c r="A4" s="5" t="s">
        <v>2</v>
      </c>
      <c r="B4" s="109"/>
      <c r="C4" s="109"/>
      <c r="D4" s="6" t="s">
        <v>3</v>
      </c>
      <c r="E4" s="110"/>
      <c r="F4" s="110"/>
    </row>
    <row r="5" spans="1:8" ht="27.75" customHeight="1" x14ac:dyDescent="0.2">
      <c r="A5" s="6" t="s">
        <v>4</v>
      </c>
      <c r="B5" s="104"/>
      <c r="C5" s="104"/>
      <c r="D5" s="6" t="s">
        <v>1555</v>
      </c>
      <c r="E5" s="103"/>
      <c r="F5" s="103"/>
    </row>
    <row r="6" spans="1:8" ht="27.75" customHeight="1" x14ac:dyDescent="0.2">
      <c r="A6" s="6" t="s">
        <v>5</v>
      </c>
      <c r="B6" s="86">
        <v>45689</v>
      </c>
      <c r="C6" s="86">
        <v>46022</v>
      </c>
      <c r="D6" s="6" t="s">
        <v>1557</v>
      </c>
      <c r="E6" s="105"/>
      <c r="F6" s="105"/>
    </row>
    <row r="7" spans="1:8" ht="22.7" customHeight="1" x14ac:dyDescent="0.2">
      <c r="A7" s="99" t="s">
        <v>6</v>
      </c>
      <c r="B7" s="99"/>
      <c r="C7" s="99"/>
      <c r="D7" s="99"/>
      <c r="E7" s="99"/>
      <c r="F7" s="99"/>
      <c r="H7" s="3" t="s">
        <v>7</v>
      </c>
    </row>
    <row r="8" spans="1:8" s="8" customFormat="1" ht="27.6" customHeight="1" x14ac:dyDescent="0.2">
      <c r="A8" s="99" t="s">
        <v>8</v>
      </c>
      <c r="B8" s="99"/>
      <c r="C8" s="2" t="s">
        <v>9</v>
      </c>
      <c r="D8" s="2" t="s">
        <v>10</v>
      </c>
      <c r="E8" s="7" t="s">
        <v>11</v>
      </c>
      <c r="F8" s="7" t="s">
        <v>12</v>
      </c>
    </row>
    <row r="9" spans="1:8" s="8" customFormat="1" ht="53.25" customHeight="1" x14ac:dyDescent="0.2">
      <c r="A9" s="103"/>
      <c r="B9" s="103"/>
      <c r="C9" s="1"/>
      <c r="D9" s="1"/>
      <c r="E9" s="9"/>
      <c r="F9" s="1"/>
    </row>
    <row r="10" spans="1:8" s="8" customFormat="1" ht="59.25" customHeight="1" x14ac:dyDescent="0.2">
      <c r="A10" s="103" t="s">
        <v>7</v>
      </c>
      <c r="B10" s="103"/>
      <c r="C10" s="1" t="s">
        <v>7</v>
      </c>
      <c r="D10" s="1" t="s">
        <v>7</v>
      </c>
      <c r="E10" s="9"/>
      <c r="F10" s="1"/>
    </row>
    <row r="11" spans="1:8" ht="57.75" customHeight="1" x14ac:dyDescent="0.2">
      <c r="A11" s="103" t="s">
        <v>7</v>
      </c>
      <c r="B11" s="103"/>
      <c r="C11" s="1" t="s">
        <v>7</v>
      </c>
      <c r="D11" s="1" t="s">
        <v>7</v>
      </c>
      <c r="E11" s="9"/>
      <c r="F11" s="1" t="s">
        <v>7</v>
      </c>
    </row>
    <row r="12" spans="1:8" ht="55.5" customHeight="1" x14ac:dyDescent="0.2">
      <c r="A12" s="103"/>
      <c r="B12" s="103"/>
      <c r="C12" s="1"/>
      <c r="D12" s="1"/>
      <c r="E12" s="9"/>
      <c r="F12" s="1" t="s">
        <v>7</v>
      </c>
    </row>
    <row r="13" spans="1:8" ht="50.25" customHeight="1" x14ac:dyDescent="0.2">
      <c r="A13" s="103" t="s">
        <v>7</v>
      </c>
      <c r="B13" s="103"/>
      <c r="C13" s="1" t="s">
        <v>7</v>
      </c>
      <c r="D13" s="1" t="s">
        <v>7</v>
      </c>
      <c r="E13" s="9"/>
      <c r="F13" s="1" t="s">
        <v>7</v>
      </c>
    </row>
    <row r="14" spans="1:8" ht="22.7" customHeight="1" x14ac:dyDescent="0.2">
      <c r="A14" s="99" t="s">
        <v>13</v>
      </c>
      <c r="B14" s="99"/>
      <c r="C14" s="99"/>
      <c r="D14" s="99"/>
      <c r="E14" s="99" t="s">
        <v>14</v>
      </c>
      <c r="F14" s="99"/>
    </row>
    <row r="15" spans="1:8" ht="27.75" customHeight="1" x14ac:dyDescent="0.2">
      <c r="A15" s="101"/>
      <c r="B15" s="101"/>
      <c r="C15" s="101"/>
      <c r="D15" s="101"/>
      <c r="E15" s="102"/>
      <c r="F15" s="102"/>
    </row>
    <row r="16" spans="1:8" ht="27.75" customHeight="1" x14ac:dyDescent="0.2">
      <c r="A16" s="101"/>
      <c r="B16" s="101"/>
      <c r="C16" s="101"/>
      <c r="D16" s="101"/>
      <c r="E16" s="102"/>
      <c r="F16" s="102"/>
    </row>
    <row r="17" spans="1:6" ht="27.75" customHeight="1" x14ac:dyDescent="0.2">
      <c r="A17" s="101"/>
      <c r="B17" s="101"/>
      <c r="C17" s="101"/>
      <c r="D17" s="101"/>
      <c r="E17" s="102"/>
      <c r="F17" s="102"/>
    </row>
    <row r="18" spans="1:6" ht="27.75" customHeight="1" x14ac:dyDescent="0.2">
      <c r="A18" s="101"/>
      <c r="B18" s="101"/>
      <c r="C18" s="101"/>
      <c r="D18" s="101"/>
      <c r="E18" s="102"/>
      <c r="F18" s="102"/>
    </row>
    <row r="19" spans="1:6" ht="27.75" customHeight="1" x14ac:dyDescent="0.2">
      <c r="A19" s="101"/>
      <c r="B19" s="101"/>
      <c r="C19" s="101"/>
      <c r="D19" s="101"/>
      <c r="E19" s="102"/>
      <c r="F19" s="102"/>
    </row>
    <row r="20" spans="1:6" ht="27.75" customHeight="1" x14ac:dyDescent="0.2">
      <c r="A20" s="101"/>
      <c r="B20" s="101"/>
      <c r="C20" s="101"/>
      <c r="D20" s="101"/>
      <c r="E20" s="102"/>
      <c r="F20" s="102"/>
    </row>
    <row r="21" spans="1:6" ht="22.7" customHeight="1" x14ac:dyDescent="0.2">
      <c r="A21" s="99" t="s">
        <v>15</v>
      </c>
      <c r="B21" s="99"/>
      <c r="C21" s="99"/>
      <c r="D21" s="99"/>
      <c r="E21" s="99"/>
      <c r="F21" s="99"/>
    </row>
    <row r="22" spans="1:6" ht="22.7" customHeight="1" x14ac:dyDescent="0.2">
      <c r="A22" s="99" t="s">
        <v>16</v>
      </c>
      <c r="B22" s="99"/>
      <c r="C22" s="2" t="s">
        <v>17</v>
      </c>
      <c r="D22" s="99" t="s">
        <v>18</v>
      </c>
      <c r="E22" s="99"/>
      <c r="F22" s="99"/>
    </row>
    <row r="23" spans="1:6" ht="56.85" customHeight="1" x14ac:dyDescent="0.2">
      <c r="A23" s="100"/>
      <c r="B23" s="100"/>
      <c r="C23" s="10"/>
      <c r="D23" s="91" t="str">
        <f>IF(OR(A23="",C23=""),"",VLOOKUP(A23,Hoja2!A4:D37,IF(C23="Alta",2,IF(C23="Media",3,IF(C23="Baja",4,0))),0))</f>
        <v/>
      </c>
      <c r="E23" s="91"/>
      <c r="F23" s="91"/>
    </row>
    <row r="24" spans="1:6" ht="56.85" customHeight="1" x14ac:dyDescent="0.2">
      <c r="A24" s="100"/>
      <c r="B24" s="100"/>
      <c r="C24" s="10"/>
      <c r="D24" s="91" t="str">
        <f>IF(OR(A24="",C24=""),"",VLOOKUP(A24,Hoja2!A5:D38,IF(C24="Alta",2,IF(C24="Media",3,IF(C24="Baja",4,0))),0))</f>
        <v/>
      </c>
      <c r="E24" s="91"/>
      <c r="F24" s="91"/>
    </row>
    <row r="25" spans="1:6" ht="56.85" customHeight="1" x14ac:dyDescent="0.2">
      <c r="A25" s="100"/>
      <c r="B25" s="100"/>
      <c r="C25" s="10"/>
      <c r="D25" s="91" t="str">
        <f>IF(OR(A25="",C25=""),"",VLOOKUP(A25,Hoja2!A5:D38,IF(C25="Alta",2,IF(C25="Media",3,IF(C25="Baja",4,0))),0))</f>
        <v/>
      </c>
      <c r="E25" s="91"/>
      <c r="F25" s="91"/>
    </row>
    <row r="26" spans="1:6" ht="56.85" customHeight="1" x14ac:dyDescent="0.2">
      <c r="A26" s="100"/>
      <c r="B26" s="100"/>
      <c r="C26" s="10"/>
      <c r="D26" s="91" t="str">
        <f>IF(OR(A26="",C26=""),"",VLOOKUP(A26,Hoja2!A5:D38,IF(C26="Alta",2,IF(C26="Media",3,IF(C26="Baja",4,0))),0))</f>
        <v/>
      </c>
      <c r="E26" s="91"/>
      <c r="F26" s="91"/>
    </row>
    <row r="27" spans="1:6" ht="56.85" customHeight="1" x14ac:dyDescent="0.2">
      <c r="A27" s="100"/>
      <c r="B27" s="100"/>
      <c r="C27" s="10"/>
      <c r="D27" s="91" t="str">
        <f>IF(OR(A27="",C27=""),"",VLOOKUP(A27,Hoja2!A5:D38,IF(C27="Alta",2,IF(C27="Media",3,IF(C27="Baja",4,0))),0))</f>
        <v/>
      </c>
      <c r="E27" s="91"/>
      <c r="F27" s="91"/>
    </row>
    <row r="28" spans="1:6" ht="22.7" customHeight="1" x14ac:dyDescent="0.2">
      <c r="A28" s="99" t="s">
        <v>19</v>
      </c>
      <c r="B28" s="99"/>
      <c r="C28" s="99"/>
      <c r="D28" s="99"/>
      <c r="E28" s="99"/>
      <c r="F28" s="99"/>
    </row>
    <row r="29" spans="1:6" ht="22.7" customHeight="1" x14ac:dyDescent="0.2">
      <c r="A29" s="99" t="s">
        <v>16</v>
      </c>
      <c r="B29" s="99"/>
      <c r="C29" s="2" t="s">
        <v>17</v>
      </c>
      <c r="D29" s="99" t="s">
        <v>18</v>
      </c>
      <c r="E29" s="99"/>
      <c r="F29" s="99"/>
    </row>
    <row r="30" spans="1:6" ht="56.85" customHeight="1" x14ac:dyDescent="0.2">
      <c r="A30" s="98" t="s">
        <v>20</v>
      </c>
      <c r="B30" s="98"/>
      <c r="C30" s="10"/>
      <c r="D30" s="91" t="str">
        <f>IF(OR(A30="",C30=""),"",VLOOKUP(A30,Hoja2!A44:D49,IF(C30="Alta",2,IF(C30="Media",3,IF(C30="Baja",4,0))),0))</f>
        <v/>
      </c>
      <c r="E30" s="91"/>
      <c r="F30" s="91"/>
    </row>
    <row r="31" spans="1:6" ht="56.85" customHeight="1" x14ac:dyDescent="0.2">
      <c r="A31" s="90" t="s">
        <v>21</v>
      </c>
      <c r="B31" s="90"/>
      <c r="C31" s="10"/>
      <c r="D31" s="91" t="str">
        <f>IF(OR(A31="",C31=""),"",VLOOKUP(A31,Hoja2!A44:D49,IF(C31="Alta",2,IF(C31="Media",3,IF(C31="Baja",4,0))),0))</f>
        <v/>
      </c>
      <c r="E31" s="91"/>
      <c r="F31" s="91"/>
    </row>
    <row r="32" spans="1:6" ht="56.85" customHeight="1" x14ac:dyDescent="0.2">
      <c r="A32" s="98" t="s">
        <v>22</v>
      </c>
      <c r="B32" s="98"/>
      <c r="C32" s="10"/>
      <c r="D32" s="91" t="str">
        <f>IF(OR(A32="",C32=""),"",VLOOKUP(A32,Hoja2!A44:D49,IF(C32="Alta",2,IF(C32="Media",3,IF(C32="Baja",4,0))),0))</f>
        <v/>
      </c>
      <c r="E32" s="91"/>
      <c r="F32" s="91"/>
    </row>
    <row r="33" spans="1:6" ht="56.85" customHeight="1" x14ac:dyDescent="0.2">
      <c r="A33" s="98" t="s">
        <v>23</v>
      </c>
      <c r="B33" s="98"/>
      <c r="C33" s="10"/>
      <c r="D33" s="91" t="str">
        <f>IF(OR(A33="",C33=""),"",VLOOKUP(A33,Hoja2!A44:D49,IF(C33="Alta",2,IF(C33="Media",3,IF(C33="Baja",4,0))),0))</f>
        <v/>
      </c>
      <c r="E33" s="91"/>
      <c r="F33" s="91"/>
    </row>
    <row r="34" spans="1:6" ht="56.85" customHeight="1" x14ac:dyDescent="0.2">
      <c r="A34" s="98" t="s">
        <v>24</v>
      </c>
      <c r="B34" s="98"/>
      <c r="C34" s="10"/>
      <c r="D34" s="91" t="str">
        <f>IF(OR(A34="",C34=""),"",VLOOKUP(A34,Hoja2!A44:D49,IF(C34="Alta",2,IF(C34="Media",3,IF(C34="Baja",4,0))),0))</f>
        <v/>
      </c>
      <c r="E34" s="91"/>
      <c r="F34" s="91"/>
    </row>
    <row r="35" spans="1:6" ht="56.85" customHeight="1" x14ac:dyDescent="0.2">
      <c r="A35" s="98" t="s">
        <v>25</v>
      </c>
      <c r="B35" s="98"/>
      <c r="C35" s="10"/>
      <c r="D35" s="91" t="str">
        <f>IF(OR(A35="",C35=""),"",VLOOKUP(A35,Hoja2!A44:D49,IF(C35="Alta",2,IF(C35="Media",3,IF(C35="Baja",4,0))),0))</f>
        <v/>
      </c>
      <c r="E35" s="91"/>
      <c r="F35" s="91"/>
    </row>
    <row r="36" spans="1:6" ht="22.7" customHeight="1" x14ac:dyDescent="0.2">
      <c r="A36" s="99" t="s">
        <v>26</v>
      </c>
      <c r="B36" s="99"/>
      <c r="C36" s="99"/>
      <c r="D36" s="99"/>
      <c r="E36" s="99"/>
      <c r="F36" s="99"/>
    </row>
    <row r="37" spans="1:6" ht="22.7" customHeight="1" x14ac:dyDescent="0.2">
      <c r="A37" s="99" t="s">
        <v>27</v>
      </c>
      <c r="B37" s="99"/>
      <c r="C37" s="2" t="s">
        <v>17</v>
      </c>
      <c r="D37" s="99" t="s">
        <v>18</v>
      </c>
      <c r="E37" s="99"/>
      <c r="F37" s="99"/>
    </row>
    <row r="38" spans="1:6" ht="66" customHeight="1" x14ac:dyDescent="0.2">
      <c r="A38" s="90" t="s">
        <v>28</v>
      </c>
      <c r="B38" s="90"/>
      <c r="C38" s="10"/>
      <c r="D38" s="91" t="str">
        <f>IF(OR(A38="",C38=""),"",VLOOKUP(A38,Hoja2!A55:D57,IF(C38="Alta",2,IF(C38="Media",3,IF(C38="Baja",4)))))</f>
        <v/>
      </c>
      <c r="E38" s="91"/>
      <c r="F38" s="91"/>
    </row>
    <row r="39" spans="1:6" ht="54.75" customHeight="1" x14ac:dyDescent="0.2">
      <c r="A39" s="90" t="s">
        <v>29</v>
      </c>
      <c r="B39" s="90"/>
      <c r="C39" s="10"/>
      <c r="D39" s="91" t="str">
        <f>IF(OR(A39="",C39=""),"",VLOOKUP(A39,Hoja2!A55:D57,IF(C39="Alta",2,IF(C39="Media",3,IF(C39="Baja",4)))))</f>
        <v/>
      </c>
      <c r="E39" s="91"/>
      <c r="F39" s="91"/>
    </row>
    <row r="40" spans="1:6" ht="27.75" customHeight="1" x14ac:dyDescent="0.2">
      <c r="A40" s="97" t="s">
        <v>30</v>
      </c>
      <c r="B40" s="97"/>
      <c r="C40" s="97"/>
      <c r="D40" s="97"/>
      <c r="E40" s="97"/>
      <c r="F40" s="97"/>
    </row>
    <row r="41" spans="1:6" ht="54.75" customHeight="1" x14ac:dyDescent="0.2">
      <c r="A41" s="90" t="s">
        <v>31</v>
      </c>
      <c r="B41" s="90"/>
      <c r="C41" s="10"/>
      <c r="D41" s="91" t="str">
        <f>IF(OR(A41="",C41=""),"",VLOOKUP(A41,Hoja2!A57:D57,IF(C41="Alta",2,IF(C41="Media",3,IF(C41="Baja",4)))))</f>
        <v/>
      </c>
      <c r="E41" s="91"/>
      <c r="F41" s="91"/>
    </row>
    <row r="44" spans="1:6" ht="12.75" customHeight="1" thickBot="1" x14ac:dyDescent="0.25">
      <c r="A44" s="11"/>
      <c r="D44" s="11"/>
      <c r="E44" s="11"/>
    </row>
    <row r="45" spans="1:6" ht="22.35" customHeight="1" x14ac:dyDescent="0.2">
      <c r="A45" s="83" t="s">
        <v>32</v>
      </c>
      <c r="B45" s="92">
        <f>E5</f>
        <v>0</v>
      </c>
      <c r="C45" s="93"/>
      <c r="D45" s="83" t="s">
        <v>32</v>
      </c>
      <c r="E45" s="92">
        <f>B3</f>
        <v>0</v>
      </c>
      <c r="F45" s="93"/>
    </row>
    <row r="46" spans="1:6" ht="22.35" customHeight="1" x14ac:dyDescent="0.2">
      <c r="A46" s="84" t="s">
        <v>33</v>
      </c>
      <c r="B46" s="94">
        <f>E6</f>
        <v>0</v>
      </c>
      <c r="C46" s="95"/>
      <c r="D46" s="84" t="s">
        <v>33</v>
      </c>
      <c r="E46" s="96">
        <f>B4</f>
        <v>0</v>
      </c>
      <c r="F46" s="95"/>
    </row>
    <row r="47" spans="1:6" ht="19.5" customHeight="1" x14ac:dyDescent="0.2">
      <c r="A47" s="84" t="s">
        <v>1556</v>
      </c>
      <c r="C47" s="85"/>
      <c r="D47" s="84" t="s">
        <v>1556</v>
      </c>
      <c r="F47" s="85"/>
    </row>
    <row r="48" spans="1:6" x14ac:dyDescent="0.2">
      <c r="A48" s="84"/>
      <c r="C48" s="85"/>
      <c r="D48" s="84"/>
      <c r="F48" s="85"/>
    </row>
    <row r="49" spans="1:6" x14ac:dyDescent="0.2">
      <c r="A49" s="84"/>
      <c r="C49" s="85"/>
      <c r="D49" s="84"/>
      <c r="F49" s="85"/>
    </row>
    <row r="50" spans="1:6" x14ac:dyDescent="0.2">
      <c r="A50" s="84"/>
      <c r="C50" s="85"/>
      <c r="D50" s="84"/>
      <c r="F50" s="85"/>
    </row>
    <row r="51" spans="1:6" ht="13.5" thickBot="1" x14ac:dyDescent="0.25">
      <c r="A51" s="87" t="s">
        <v>34</v>
      </c>
      <c r="B51" s="88"/>
      <c r="C51" s="89"/>
      <c r="D51" s="87" t="s">
        <v>1553</v>
      </c>
      <c r="E51" s="88"/>
      <c r="F51" s="89"/>
    </row>
    <row r="54" spans="1:6" ht="20.85" customHeight="1" x14ac:dyDescent="0.2">
      <c r="C54" s="11"/>
    </row>
    <row r="55" spans="1:6" ht="20.85" customHeight="1" x14ac:dyDescent="0.2"/>
    <row r="56" spans="1:6" ht="20.85" customHeight="1" x14ac:dyDescent="0.2"/>
    <row r="57" spans="1:6" ht="20.85" customHeight="1" x14ac:dyDescent="0.2">
      <c r="D57" s="12"/>
      <c r="E57" s="12"/>
      <c r="F57" s="13"/>
    </row>
  </sheetData>
  <sheetProtection algorithmName="SHA-512" hashValue="LjSKLfqnhB4nzpIvCo5Jm+YAd25UXczsmM7QklwO3iV0hN2nE4PIPZ0NHY8MY/X4Qk0Ny5AySq5fPw+9xmtAwQ==" saltValue="uZdtJYufR/4gQV1gDz79Fg==" spinCount="100000" sheet="1" objects="1" scenarios="1"/>
  <mergeCells count="74">
    <mergeCell ref="B1:F1"/>
    <mergeCell ref="B2:F2"/>
    <mergeCell ref="B3:C3"/>
    <mergeCell ref="E3:F3"/>
    <mergeCell ref="B4:C4"/>
    <mergeCell ref="E4:F4"/>
    <mergeCell ref="B5:C5"/>
    <mergeCell ref="E5:F5"/>
    <mergeCell ref="E6:F6"/>
    <mergeCell ref="A7:F7"/>
    <mergeCell ref="A8:B8"/>
    <mergeCell ref="A9:B9"/>
    <mergeCell ref="A10:B10"/>
    <mergeCell ref="A11:B11"/>
    <mergeCell ref="A12:B12"/>
    <mergeCell ref="A13:B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F21"/>
    <mergeCell ref="A22:B22"/>
    <mergeCell ref="D22:F22"/>
    <mergeCell ref="A23:B23"/>
    <mergeCell ref="D23:F23"/>
    <mergeCell ref="A24:B24"/>
    <mergeCell ref="D24:F24"/>
    <mergeCell ref="A25:B25"/>
    <mergeCell ref="D25:F25"/>
    <mergeCell ref="A26:B26"/>
    <mergeCell ref="D26:F26"/>
    <mergeCell ref="A27:B27"/>
    <mergeCell ref="D27:F27"/>
    <mergeCell ref="A28:F28"/>
    <mergeCell ref="A29:B29"/>
    <mergeCell ref="D29:F29"/>
    <mergeCell ref="A30:B30"/>
    <mergeCell ref="D30:F30"/>
    <mergeCell ref="A31:B31"/>
    <mergeCell ref="D31:F31"/>
    <mergeCell ref="A32:B32"/>
    <mergeCell ref="D32:F32"/>
    <mergeCell ref="A33:B33"/>
    <mergeCell ref="D33:F33"/>
    <mergeCell ref="A34:B34"/>
    <mergeCell ref="D34:F34"/>
    <mergeCell ref="A35:B35"/>
    <mergeCell ref="D35:F35"/>
    <mergeCell ref="A36:F36"/>
    <mergeCell ref="A37:B37"/>
    <mergeCell ref="D37:F37"/>
    <mergeCell ref="A38:B38"/>
    <mergeCell ref="D38:F38"/>
    <mergeCell ref="A39:B39"/>
    <mergeCell ref="D39:F39"/>
    <mergeCell ref="A40:F40"/>
    <mergeCell ref="A51:C51"/>
    <mergeCell ref="D51:F51"/>
    <mergeCell ref="A41:B41"/>
    <mergeCell ref="D41:F41"/>
    <mergeCell ref="B45:C45"/>
    <mergeCell ref="E45:F45"/>
    <mergeCell ref="B46:C46"/>
    <mergeCell ref="E46:F46"/>
  </mergeCells>
  <dataValidations count="4">
    <dataValidation type="list" operator="equal" allowBlank="1" showDropDown="1" showErrorMessage="1" sqref="A1 D1:E2 D3:D4" xr:uid="{00000000-0002-0000-0000-000000000000}">
      <formula1>"Servidor Legislativo 1Servidor Legislativo 2Servidor Legislativo 3Servidor Legislativo 4Servidor Legislativo 5Servidor Legislativo 6Servidor Legislativo 7Servidor Legislativo 8Servidor Legislativo 9Servidor Legislativo 10Servidor Legislativo 11"</formula1>
      <formula2>0</formula2>
    </dataValidation>
    <dataValidation type="list" operator="equal" showErrorMessage="1" sqref="B41" xr:uid="{00000000-0002-0000-0000-000001000000}">
      <formula1>"AltaMediaBaja"</formula1>
      <formula2>0</formula2>
    </dataValidation>
    <dataValidation operator="equal" allowBlank="1" showErrorMessage="1" error="Datos no válidos" sqref="D23:F27" xr:uid="{00000000-0002-0000-0000-000002000000}">
      <formula1>0</formula1>
      <formula2>0</formula2>
    </dataValidation>
    <dataValidation type="whole" operator="greaterThanOrEqual" allowBlank="1" error="Ingrese solo números enteros" sqref="E9:E13" xr:uid="{00000000-0002-0000-0000-000003000000}">
      <formula1>0</formula1>
      <formula2>0</formula2>
    </dataValidation>
  </dataValidations>
  <printOptions horizontalCentered="1"/>
  <pageMargins left="0.31496062992125984" right="0.19685039370078741" top="0.35433070866141736" bottom="0.31496062992125984" header="0.51181102362204722" footer="0.51181102362204722"/>
  <pageSetup paperSize="9" scale="73" orientation="portrait" useFirstPageNumber="1" horizontalDpi="300" verticalDpi="300" r:id="rId1"/>
  <drawing r:id="rId2"/>
  <legacyDrawing r:id="rId3"/>
  <extLst>
    <ext xmlns:x14="http://schemas.microsoft.com/office/spreadsheetml/2009/9/main" uri="{CCE6A557-97BC-4b89-ADB6-D9C93CAAB3DF}">
      <x14:dataValidations xmlns:xm="http://schemas.microsoft.com/office/excel/2006/main" count="3">
        <x14:dataValidation type="list" operator="equal" allowBlank="1" showErrorMessage="1" xr:uid="{00000000-0002-0000-0000-000004000000}">
          <x14:formula1>
            <xm:f>Hoja6!$A$1:$A$5</xm:f>
          </x14:formula1>
          <x14:formula2>
            <xm:f>0</xm:f>
          </x14:formula2>
          <xm:sqref>E15:E20</xm:sqref>
        </x14:dataValidation>
        <x14:dataValidation type="list" operator="equal" allowBlank="1" showErrorMessage="1" xr:uid="{00000000-0002-0000-0000-000005000000}">
          <x14:formula1>
            <xm:f>Hoja2!$A$5:$A$38</xm:f>
          </x14:formula1>
          <x14:formula2>
            <xm:f>0</xm:f>
          </x14:formula2>
          <xm:sqref>A23:A27</xm:sqref>
        </x14:dataValidation>
        <x14:dataValidation type="list" operator="equal" allowBlank="1" showErrorMessage="1" xr:uid="{00000000-0002-0000-0000-000006000000}">
          <x14:formula1>
            <xm:f>Hoja6!$A$7:$A$9</xm:f>
          </x14:formula1>
          <x14:formula2>
            <xm:f>0</xm:f>
          </x14:formula2>
          <xm:sqref>C23:C27 C41 C38:C39 C30:C35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59"/>
  <sheetViews>
    <sheetView zoomScale="89" zoomScaleNormal="89" workbookViewId="0">
      <selection activeCell="D8" sqref="D8"/>
    </sheetView>
  </sheetViews>
  <sheetFormatPr baseColWidth="10" defaultColWidth="9.85546875" defaultRowHeight="12.75" x14ac:dyDescent="0.2"/>
  <cols>
    <col min="1" max="1" width="16.7109375" style="14" customWidth="1"/>
    <col min="2" max="3" width="21.42578125" style="14" customWidth="1"/>
    <col min="4" max="4" width="21.140625" style="14" customWidth="1"/>
    <col min="5" max="1024" width="9.85546875" style="14"/>
  </cols>
  <sheetData>
    <row r="1" spans="1:4" ht="19.350000000000001" customHeight="1" x14ac:dyDescent="0.2">
      <c r="A1" s="111" t="s">
        <v>35</v>
      </c>
      <c r="B1" s="111"/>
      <c r="C1" s="111"/>
      <c r="D1" s="111"/>
    </row>
    <row r="2" spans="1:4" ht="14.85" customHeight="1" x14ac:dyDescent="0.2">
      <c r="A2" s="15"/>
      <c r="B2" s="15"/>
      <c r="C2" s="15"/>
      <c r="D2" s="15"/>
    </row>
    <row r="3" spans="1:4" ht="14.85" customHeight="1" x14ac:dyDescent="0.2">
      <c r="A3" s="112" t="s">
        <v>36</v>
      </c>
      <c r="B3" s="113" t="s">
        <v>37</v>
      </c>
      <c r="C3" s="113"/>
      <c r="D3" s="113"/>
    </row>
    <row r="4" spans="1:4" ht="14.85" customHeight="1" x14ac:dyDescent="0.2">
      <c r="A4" s="112"/>
      <c r="B4" s="16" t="s">
        <v>38</v>
      </c>
      <c r="C4" s="16" t="s">
        <v>39</v>
      </c>
      <c r="D4" s="17" t="s">
        <v>40</v>
      </c>
    </row>
    <row r="5" spans="1:4" ht="39" customHeight="1" x14ac:dyDescent="0.2">
      <c r="A5" s="18" t="s">
        <v>41</v>
      </c>
      <c r="B5" s="18" t="s">
        <v>42</v>
      </c>
      <c r="C5" s="18" t="s">
        <v>43</v>
      </c>
      <c r="D5" s="19" t="s">
        <v>44</v>
      </c>
    </row>
    <row r="6" spans="1:4" ht="57" customHeight="1" x14ac:dyDescent="0.2">
      <c r="A6" s="20" t="s">
        <v>45</v>
      </c>
      <c r="B6" s="21" t="s">
        <v>46</v>
      </c>
      <c r="C6" s="21" t="s">
        <v>47</v>
      </c>
      <c r="D6" s="22" t="s">
        <v>48</v>
      </c>
    </row>
    <row r="7" spans="1:4" ht="48" customHeight="1" x14ac:dyDescent="0.2">
      <c r="A7" s="21" t="s">
        <v>49</v>
      </c>
      <c r="B7" s="21" t="s">
        <v>50</v>
      </c>
      <c r="C7" s="21" t="s">
        <v>51</v>
      </c>
      <c r="D7" s="22" t="s">
        <v>52</v>
      </c>
    </row>
    <row r="8" spans="1:4" ht="84" customHeight="1" x14ac:dyDescent="0.2">
      <c r="A8" s="21" t="s">
        <v>53</v>
      </c>
      <c r="B8" s="21" t="s">
        <v>54</v>
      </c>
      <c r="C8" s="21" t="s">
        <v>55</v>
      </c>
      <c r="D8" s="22" t="s">
        <v>56</v>
      </c>
    </row>
    <row r="9" spans="1:4" ht="75" customHeight="1" x14ac:dyDescent="0.2">
      <c r="A9" s="21" t="s">
        <v>57</v>
      </c>
      <c r="B9" s="21" t="s">
        <v>58</v>
      </c>
      <c r="C9" s="21" t="s">
        <v>59</v>
      </c>
      <c r="D9" s="22" t="s">
        <v>60</v>
      </c>
    </row>
    <row r="10" spans="1:4" ht="48" customHeight="1" x14ac:dyDescent="0.2">
      <c r="A10" s="21" t="s">
        <v>61</v>
      </c>
      <c r="B10" s="21" t="s">
        <v>62</v>
      </c>
      <c r="C10" s="21" t="s">
        <v>63</v>
      </c>
      <c r="D10" s="22" t="s">
        <v>64</v>
      </c>
    </row>
    <row r="11" spans="1:4" ht="48" customHeight="1" x14ac:dyDescent="0.2">
      <c r="A11" s="21" t="s">
        <v>65</v>
      </c>
      <c r="B11" s="21" t="s">
        <v>66</v>
      </c>
      <c r="C11" s="21" t="s">
        <v>67</v>
      </c>
      <c r="D11" s="22" t="s">
        <v>68</v>
      </c>
    </row>
    <row r="12" spans="1:4" ht="48" customHeight="1" x14ac:dyDescent="0.2">
      <c r="A12" s="21" t="s">
        <v>69</v>
      </c>
      <c r="B12" s="21" t="s">
        <v>70</v>
      </c>
      <c r="C12" s="21" t="s">
        <v>71</v>
      </c>
      <c r="D12" s="22" t="s">
        <v>72</v>
      </c>
    </row>
    <row r="13" spans="1:4" ht="84" customHeight="1" x14ac:dyDescent="0.2">
      <c r="A13" s="21" t="s">
        <v>73</v>
      </c>
      <c r="B13" s="21" t="s">
        <v>74</v>
      </c>
      <c r="C13" s="21" t="s">
        <v>75</v>
      </c>
      <c r="D13" s="22" t="s">
        <v>76</v>
      </c>
    </row>
    <row r="14" spans="1:4" ht="39" customHeight="1" x14ac:dyDescent="0.2">
      <c r="A14" s="21" t="s">
        <v>77</v>
      </c>
      <c r="B14" s="21" t="s">
        <v>78</v>
      </c>
      <c r="C14" s="21" t="s">
        <v>79</v>
      </c>
      <c r="D14" s="22" t="s">
        <v>80</v>
      </c>
    </row>
    <row r="15" spans="1:4" ht="39" customHeight="1" x14ac:dyDescent="0.2">
      <c r="A15" s="21" t="s">
        <v>81</v>
      </c>
      <c r="B15" s="21" t="s">
        <v>82</v>
      </c>
      <c r="C15" s="21" t="s">
        <v>83</v>
      </c>
      <c r="D15" s="22" t="s">
        <v>84</v>
      </c>
    </row>
    <row r="16" spans="1:4" ht="48" customHeight="1" x14ac:dyDescent="0.2">
      <c r="A16" s="21" t="s">
        <v>85</v>
      </c>
      <c r="B16" s="21" t="s">
        <v>86</v>
      </c>
      <c r="C16" s="21" t="s">
        <v>87</v>
      </c>
      <c r="D16" s="22" t="s">
        <v>88</v>
      </c>
    </row>
    <row r="17" spans="1:4" ht="57" customHeight="1" x14ac:dyDescent="0.2">
      <c r="A17" s="21" t="s">
        <v>89</v>
      </c>
      <c r="B17" s="21" t="s">
        <v>90</v>
      </c>
      <c r="C17" s="21" t="s">
        <v>91</v>
      </c>
      <c r="D17" s="22" t="s">
        <v>92</v>
      </c>
    </row>
    <row r="18" spans="1:4" ht="48" customHeight="1" x14ac:dyDescent="0.2">
      <c r="A18" s="21" t="s">
        <v>93</v>
      </c>
      <c r="B18" s="21" t="s">
        <v>94</v>
      </c>
      <c r="C18" s="21" t="s">
        <v>95</v>
      </c>
      <c r="D18" s="22" t="s">
        <v>96</v>
      </c>
    </row>
    <row r="19" spans="1:4" ht="30" customHeight="1" x14ac:dyDescent="0.2">
      <c r="A19" s="21" t="s">
        <v>97</v>
      </c>
      <c r="B19" s="21" t="s">
        <v>98</v>
      </c>
      <c r="C19" s="21" t="s">
        <v>99</v>
      </c>
      <c r="D19" s="22" t="s">
        <v>100</v>
      </c>
    </row>
    <row r="20" spans="1:4" ht="48" customHeight="1" x14ac:dyDescent="0.2">
      <c r="A20" s="21" t="s">
        <v>101</v>
      </c>
      <c r="B20" s="21" t="s">
        <v>102</v>
      </c>
      <c r="C20" s="21" t="s">
        <v>103</v>
      </c>
      <c r="D20" s="22" t="s">
        <v>104</v>
      </c>
    </row>
    <row r="21" spans="1:4" ht="66" customHeight="1" x14ac:dyDescent="0.2">
      <c r="A21" s="21" t="s">
        <v>105</v>
      </c>
      <c r="B21" s="21" t="s">
        <v>106</v>
      </c>
      <c r="C21" s="21" t="s">
        <v>107</v>
      </c>
      <c r="D21" s="22" t="s">
        <v>108</v>
      </c>
    </row>
    <row r="22" spans="1:4" ht="48" customHeight="1" x14ac:dyDescent="0.2">
      <c r="A22" s="21" t="s">
        <v>109</v>
      </c>
      <c r="B22" s="21" t="s">
        <v>110</v>
      </c>
      <c r="C22" s="21" t="s">
        <v>111</v>
      </c>
      <c r="D22" s="22" t="s">
        <v>112</v>
      </c>
    </row>
    <row r="23" spans="1:4" ht="48" customHeight="1" x14ac:dyDescent="0.2">
      <c r="A23" s="21" t="s">
        <v>113</v>
      </c>
      <c r="B23" s="21" t="s">
        <v>114</v>
      </c>
      <c r="C23" s="21" t="s">
        <v>115</v>
      </c>
      <c r="D23" s="22" t="s">
        <v>116</v>
      </c>
    </row>
    <row r="24" spans="1:4" ht="75" customHeight="1" x14ac:dyDescent="0.2">
      <c r="A24" s="21" t="s">
        <v>117</v>
      </c>
      <c r="B24" s="21" t="s">
        <v>118</v>
      </c>
      <c r="C24" s="21" t="s">
        <v>119</v>
      </c>
      <c r="D24" s="22" t="s">
        <v>120</v>
      </c>
    </row>
    <row r="25" spans="1:4" ht="48" customHeight="1" x14ac:dyDescent="0.2">
      <c r="A25" s="21" t="s">
        <v>121</v>
      </c>
      <c r="B25" s="21" t="s">
        <v>122</v>
      </c>
      <c r="C25" s="21" t="s">
        <v>123</v>
      </c>
      <c r="D25" s="22" t="s">
        <v>124</v>
      </c>
    </row>
    <row r="26" spans="1:4" ht="57" customHeight="1" x14ac:dyDescent="0.2">
      <c r="A26" s="21" t="s">
        <v>125</v>
      </c>
      <c r="B26" s="21" t="s">
        <v>126</v>
      </c>
      <c r="C26" s="21" t="s">
        <v>127</v>
      </c>
      <c r="D26" s="22" t="s">
        <v>128</v>
      </c>
    </row>
    <row r="27" spans="1:4" ht="30" customHeight="1" x14ac:dyDescent="0.2">
      <c r="A27" s="21" t="s">
        <v>129</v>
      </c>
      <c r="B27" s="21" t="s">
        <v>130</v>
      </c>
      <c r="C27" s="21" t="s">
        <v>131</v>
      </c>
      <c r="D27" s="22" t="s">
        <v>132</v>
      </c>
    </row>
    <row r="28" spans="1:4" ht="57" customHeight="1" x14ac:dyDescent="0.2">
      <c r="A28" s="21" t="s">
        <v>133</v>
      </c>
      <c r="B28" s="21" t="s">
        <v>134</v>
      </c>
      <c r="C28" s="21" t="s">
        <v>135</v>
      </c>
      <c r="D28" s="22" t="s">
        <v>136</v>
      </c>
    </row>
    <row r="29" spans="1:4" ht="57" customHeight="1" x14ac:dyDescent="0.2">
      <c r="A29" s="21" t="s">
        <v>137</v>
      </c>
      <c r="B29" s="21" t="s">
        <v>138</v>
      </c>
      <c r="C29" s="21" t="s">
        <v>139</v>
      </c>
      <c r="D29" s="22" t="s">
        <v>140</v>
      </c>
    </row>
    <row r="30" spans="1:4" ht="84" customHeight="1" x14ac:dyDescent="0.2">
      <c r="A30" s="21" t="s">
        <v>141</v>
      </c>
      <c r="B30" s="21" t="s">
        <v>142</v>
      </c>
      <c r="C30" s="21" t="s">
        <v>143</v>
      </c>
      <c r="D30" s="22" t="s">
        <v>144</v>
      </c>
    </row>
    <row r="31" spans="1:4" ht="111" customHeight="1" x14ac:dyDescent="0.2">
      <c r="A31" s="21" t="s">
        <v>145</v>
      </c>
      <c r="B31" s="21" t="s">
        <v>146</v>
      </c>
      <c r="C31" s="21" t="s">
        <v>147</v>
      </c>
      <c r="D31" s="22" t="s">
        <v>148</v>
      </c>
    </row>
    <row r="32" spans="1:4" ht="48" customHeight="1" x14ac:dyDescent="0.2">
      <c r="A32" s="21" t="s">
        <v>149</v>
      </c>
      <c r="B32" s="21" t="s">
        <v>150</v>
      </c>
      <c r="C32" s="21" t="s">
        <v>151</v>
      </c>
      <c r="D32" s="22" t="s">
        <v>152</v>
      </c>
    </row>
    <row r="33" spans="1:4" ht="84" customHeight="1" x14ac:dyDescent="0.2">
      <c r="A33" s="21" t="s">
        <v>153</v>
      </c>
      <c r="B33" s="21" t="s">
        <v>154</v>
      </c>
      <c r="C33" s="21" t="s">
        <v>155</v>
      </c>
      <c r="D33" s="22" t="s">
        <v>156</v>
      </c>
    </row>
    <row r="34" spans="1:4" ht="93" customHeight="1" x14ac:dyDescent="0.2">
      <c r="A34" s="21" t="s">
        <v>157</v>
      </c>
      <c r="B34" s="21" t="s">
        <v>158</v>
      </c>
      <c r="C34" s="21" t="s">
        <v>159</v>
      </c>
      <c r="D34" s="22" t="s">
        <v>160</v>
      </c>
    </row>
    <row r="35" spans="1:4" ht="111" customHeight="1" x14ac:dyDescent="0.2">
      <c r="A35" s="21" t="s">
        <v>161</v>
      </c>
      <c r="B35" s="21" t="s">
        <v>162</v>
      </c>
      <c r="C35" s="21" t="s">
        <v>163</v>
      </c>
      <c r="D35" s="22" t="s">
        <v>164</v>
      </c>
    </row>
    <row r="36" spans="1:4" ht="75" customHeight="1" x14ac:dyDescent="0.2">
      <c r="A36" s="21" t="s">
        <v>165</v>
      </c>
      <c r="B36" s="21" t="s">
        <v>166</v>
      </c>
      <c r="C36" s="21" t="s">
        <v>167</v>
      </c>
      <c r="D36" s="22" t="s">
        <v>168</v>
      </c>
    </row>
    <row r="37" spans="1:4" ht="39" customHeight="1" x14ac:dyDescent="0.2">
      <c r="A37" s="21" t="s">
        <v>169</v>
      </c>
      <c r="B37" s="21" t="s">
        <v>170</v>
      </c>
      <c r="C37" s="21" t="s">
        <v>171</v>
      </c>
      <c r="D37" s="22" t="s">
        <v>172</v>
      </c>
    </row>
    <row r="38" spans="1:4" ht="48" customHeight="1" x14ac:dyDescent="0.2">
      <c r="A38" s="21" t="s">
        <v>173</v>
      </c>
      <c r="B38" s="21" t="s">
        <v>174</v>
      </c>
      <c r="C38" s="21" t="s">
        <v>175</v>
      </c>
      <c r="D38" s="22" t="s">
        <v>176</v>
      </c>
    </row>
    <row r="39" spans="1:4" ht="14.85" customHeight="1" x14ac:dyDescent="0.2">
      <c r="A39" s="23"/>
      <c r="B39" s="24"/>
      <c r="C39" s="24"/>
      <c r="D39" s="25"/>
    </row>
    <row r="40" spans="1:4" ht="19.350000000000001" customHeight="1" x14ac:dyDescent="0.2">
      <c r="A40" s="111" t="s">
        <v>177</v>
      </c>
      <c r="B40" s="111"/>
      <c r="C40" s="111"/>
      <c r="D40" s="111"/>
    </row>
    <row r="41" spans="1:4" ht="14.85" customHeight="1" x14ac:dyDescent="0.2">
      <c r="A41" s="15"/>
      <c r="B41" s="15"/>
      <c r="C41" s="15"/>
      <c r="D41" s="15"/>
    </row>
    <row r="42" spans="1:4" ht="14.85" customHeight="1" x14ac:dyDescent="0.2">
      <c r="A42" s="112" t="s">
        <v>36</v>
      </c>
      <c r="B42" s="113" t="s">
        <v>37</v>
      </c>
      <c r="C42" s="113"/>
      <c r="D42" s="113"/>
    </row>
    <row r="43" spans="1:4" ht="14.85" customHeight="1" x14ac:dyDescent="0.2">
      <c r="A43" s="112"/>
      <c r="B43" s="16" t="s">
        <v>38</v>
      </c>
      <c r="C43" s="16" t="s">
        <v>39</v>
      </c>
      <c r="D43" s="17" t="s">
        <v>40</v>
      </c>
    </row>
    <row r="44" spans="1:4" ht="75" customHeight="1" x14ac:dyDescent="0.2">
      <c r="A44" s="26" t="s">
        <v>20</v>
      </c>
      <c r="B44" s="24" t="s">
        <v>178</v>
      </c>
      <c r="C44" s="24" t="s">
        <v>179</v>
      </c>
      <c r="D44" s="25" t="s">
        <v>180</v>
      </c>
    </row>
    <row r="45" spans="1:4" ht="75" customHeight="1" x14ac:dyDescent="0.2">
      <c r="A45" s="26" t="s">
        <v>21</v>
      </c>
      <c r="B45" s="24" t="s">
        <v>181</v>
      </c>
      <c r="C45" s="24" t="s">
        <v>182</v>
      </c>
      <c r="D45" s="25" t="s">
        <v>183</v>
      </c>
    </row>
    <row r="46" spans="1:4" ht="66" customHeight="1" x14ac:dyDescent="0.2">
      <c r="A46" s="26" t="s">
        <v>22</v>
      </c>
      <c r="B46" s="24" t="s">
        <v>184</v>
      </c>
      <c r="C46" s="24" t="s">
        <v>185</v>
      </c>
      <c r="D46" s="25" t="s">
        <v>186</v>
      </c>
    </row>
    <row r="47" spans="1:4" ht="48" customHeight="1" x14ac:dyDescent="0.2">
      <c r="A47" s="26" t="s">
        <v>23</v>
      </c>
      <c r="B47" s="24" t="s">
        <v>187</v>
      </c>
      <c r="C47" s="27" t="s">
        <v>188</v>
      </c>
      <c r="D47" s="25" t="s">
        <v>189</v>
      </c>
    </row>
    <row r="48" spans="1:4" ht="66" customHeight="1" x14ac:dyDescent="0.2">
      <c r="A48" s="26" t="s">
        <v>24</v>
      </c>
      <c r="B48" s="24" t="s">
        <v>190</v>
      </c>
      <c r="C48" s="24" t="s">
        <v>191</v>
      </c>
      <c r="D48" s="25" t="s">
        <v>192</v>
      </c>
    </row>
    <row r="49" spans="1:4" ht="57" customHeight="1" x14ac:dyDescent="0.2">
      <c r="A49" s="26" t="s">
        <v>25</v>
      </c>
      <c r="B49" s="28" t="s">
        <v>193</v>
      </c>
      <c r="C49" s="28" t="s">
        <v>194</v>
      </c>
      <c r="D49" s="29" t="s">
        <v>195</v>
      </c>
    </row>
    <row r="50" spans="1:4" ht="14.85" customHeight="1" x14ac:dyDescent="0.2">
      <c r="A50" s="28"/>
      <c r="B50" s="28"/>
      <c r="C50" s="28"/>
      <c r="D50" s="29"/>
    </row>
    <row r="51" spans="1:4" ht="34.35" customHeight="1" x14ac:dyDescent="0.2">
      <c r="A51" s="111" t="s">
        <v>196</v>
      </c>
      <c r="B51" s="111"/>
      <c r="C51" s="111"/>
      <c r="D51" s="111"/>
    </row>
    <row r="52" spans="1:4" ht="14.85" customHeight="1" x14ac:dyDescent="0.2">
      <c r="A52" s="15"/>
      <c r="B52" s="15"/>
      <c r="C52" s="15"/>
      <c r="D52" s="15"/>
    </row>
    <row r="53" spans="1:4" ht="14.85" customHeight="1" x14ac:dyDescent="0.2">
      <c r="A53" s="112" t="s">
        <v>36</v>
      </c>
      <c r="B53" s="113" t="s">
        <v>37</v>
      </c>
      <c r="C53" s="113"/>
      <c r="D53" s="113"/>
    </row>
    <row r="54" spans="1:4" ht="14.85" customHeight="1" x14ac:dyDescent="0.2">
      <c r="A54" s="112"/>
      <c r="B54" s="16" t="s">
        <v>38</v>
      </c>
      <c r="C54" s="16" t="s">
        <v>39</v>
      </c>
      <c r="D54" s="17" t="s">
        <v>40</v>
      </c>
    </row>
    <row r="55" spans="1:4" ht="83.85" customHeight="1" x14ac:dyDescent="0.2">
      <c r="A55" s="28" t="s">
        <v>28</v>
      </c>
      <c r="B55" s="28" t="s">
        <v>197</v>
      </c>
      <c r="C55" s="28" t="s">
        <v>198</v>
      </c>
      <c r="D55" s="29" t="s">
        <v>199</v>
      </c>
    </row>
    <row r="56" spans="1:4" ht="65.849999999999994" customHeight="1" x14ac:dyDescent="0.2">
      <c r="A56" s="24" t="s">
        <v>29</v>
      </c>
      <c r="B56" s="24" t="s">
        <v>200</v>
      </c>
      <c r="C56" s="24" t="s">
        <v>201</v>
      </c>
      <c r="D56" s="25" t="s">
        <v>202</v>
      </c>
    </row>
    <row r="57" spans="1:4" ht="65.849999999999994" customHeight="1" x14ac:dyDescent="0.2">
      <c r="A57" s="28" t="s">
        <v>31</v>
      </c>
      <c r="B57" s="28" t="s">
        <v>203</v>
      </c>
      <c r="C57" s="28" t="s">
        <v>204</v>
      </c>
      <c r="D57" s="29" t="s">
        <v>205</v>
      </c>
    </row>
    <row r="58" spans="1:4" ht="14.85" customHeight="1" x14ac:dyDescent="0.2">
      <c r="A58" s="24"/>
      <c r="B58" s="24"/>
      <c r="C58" s="24"/>
      <c r="D58" s="25"/>
    </row>
    <row r="59" spans="1:4" ht="14.85" customHeight="1" x14ac:dyDescent="0.2">
      <c r="A59" s="28"/>
      <c r="B59" s="28"/>
      <c r="C59" s="28"/>
      <c r="D59" s="29"/>
    </row>
  </sheetData>
  <sheetProtection sheet="1" objects="1" scenarios="1"/>
  <mergeCells count="9">
    <mergeCell ref="A51:D51"/>
    <mergeCell ref="A53:A54"/>
    <mergeCell ref="B53:D53"/>
    <mergeCell ref="A1:D1"/>
    <mergeCell ref="A3:A4"/>
    <mergeCell ref="B3:D3"/>
    <mergeCell ref="A40:D40"/>
    <mergeCell ref="A42:A43"/>
    <mergeCell ref="B42:D42"/>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6"/>
  <sheetViews>
    <sheetView topLeftCell="B1" zoomScale="89" zoomScaleNormal="89" workbookViewId="0">
      <selection activeCell="B185" sqref="B185"/>
    </sheetView>
  </sheetViews>
  <sheetFormatPr baseColWidth="10" defaultColWidth="10.7109375" defaultRowHeight="12.75" x14ac:dyDescent="0.2"/>
  <cols>
    <col min="1" max="1" width="13.7109375" customWidth="1"/>
    <col min="2" max="2" width="37.42578125" customWidth="1"/>
    <col min="3" max="3" width="87.140625" customWidth="1"/>
    <col min="4" max="4" width="19.85546875" customWidth="1"/>
    <col min="5" max="6" width="58.140625" customWidth="1"/>
    <col min="8" max="8" width="16.140625" customWidth="1"/>
    <col min="9" max="9" width="21.85546875" customWidth="1"/>
    <col min="10" max="10" width="12.42578125" style="30" customWidth="1"/>
  </cols>
  <sheetData>
    <row r="1" spans="1:10" ht="25.5" customHeight="1" x14ac:dyDescent="0.2">
      <c r="A1" s="31" t="s">
        <v>206</v>
      </c>
      <c r="B1" s="31" t="s">
        <v>207</v>
      </c>
      <c r="C1" s="31" t="s">
        <v>208</v>
      </c>
      <c r="D1" s="31" t="s">
        <v>209</v>
      </c>
      <c r="E1" s="31" t="s">
        <v>210</v>
      </c>
      <c r="F1" s="31" t="s">
        <v>211</v>
      </c>
      <c r="G1" s="31" t="s">
        <v>212</v>
      </c>
      <c r="H1" s="31" t="s">
        <v>213</v>
      </c>
      <c r="I1" s="31" t="s">
        <v>214</v>
      </c>
      <c r="J1" s="31" t="s">
        <v>215</v>
      </c>
    </row>
    <row r="2" spans="1:10" ht="12.75" customHeight="1" x14ac:dyDescent="0.2">
      <c r="A2" s="32" t="s">
        <v>216</v>
      </c>
      <c r="B2" s="32" t="s">
        <v>217</v>
      </c>
      <c r="C2" s="32" t="s">
        <v>218</v>
      </c>
      <c r="D2" s="32" t="s">
        <v>219</v>
      </c>
      <c r="E2" s="32" t="s">
        <v>220</v>
      </c>
      <c r="F2" s="32" t="s">
        <v>221</v>
      </c>
      <c r="G2" s="33">
        <v>2034</v>
      </c>
      <c r="H2" s="34">
        <v>43221</v>
      </c>
      <c r="I2" t="s">
        <v>222</v>
      </c>
      <c r="J2" s="30" t="s">
        <v>223</v>
      </c>
    </row>
    <row r="3" spans="1:10" ht="12.75" customHeight="1" x14ac:dyDescent="0.2">
      <c r="A3" s="32" t="s">
        <v>224</v>
      </c>
      <c r="B3" s="32" t="s">
        <v>225</v>
      </c>
      <c r="C3" s="32" t="s">
        <v>218</v>
      </c>
      <c r="D3" s="32" t="s">
        <v>226</v>
      </c>
      <c r="E3" s="32" t="s">
        <v>227</v>
      </c>
      <c r="F3" s="32" t="s">
        <v>227</v>
      </c>
      <c r="G3" s="33">
        <v>2085.25</v>
      </c>
      <c r="H3" s="34">
        <v>34557</v>
      </c>
      <c r="I3" t="s">
        <v>222</v>
      </c>
      <c r="J3" s="30" t="s">
        <v>223</v>
      </c>
    </row>
    <row r="4" spans="1:10" ht="12.75" customHeight="1" x14ac:dyDescent="0.2">
      <c r="A4" s="32" t="s">
        <v>228</v>
      </c>
      <c r="B4" s="32" t="s">
        <v>229</v>
      </c>
      <c r="C4" s="32" t="s">
        <v>218</v>
      </c>
      <c r="D4" s="32" t="s">
        <v>226</v>
      </c>
      <c r="E4" s="32" t="s">
        <v>230</v>
      </c>
      <c r="F4" s="32" t="s">
        <v>230</v>
      </c>
      <c r="G4" s="33">
        <v>2082.2199999999998</v>
      </c>
      <c r="H4" s="34">
        <v>33345</v>
      </c>
      <c r="I4" t="s">
        <v>222</v>
      </c>
      <c r="J4" s="30" t="s">
        <v>223</v>
      </c>
    </row>
    <row r="5" spans="1:10" ht="12.75" customHeight="1" x14ac:dyDescent="0.2">
      <c r="A5" s="32" t="s">
        <v>231</v>
      </c>
      <c r="B5" s="32" t="s">
        <v>232</v>
      </c>
      <c r="C5" s="32" t="s">
        <v>218</v>
      </c>
      <c r="D5" s="32" t="s">
        <v>219</v>
      </c>
      <c r="E5" s="32" t="s">
        <v>233</v>
      </c>
      <c r="F5" s="32" t="s">
        <v>234</v>
      </c>
      <c r="G5" s="33">
        <v>1760</v>
      </c>
      <c r="H5" s="34">
        <v>40148</v>
      </c>
      <c r="I5" t="s">
        <v>222</v>
      </c>
      <c r="J5" s="30" t="s">
        <v>223</v>
      </c>
    </row>
    <row r="6" spans="1:10" ht="12.75" customHeight="1" x14ac:dyDescent="0.2">
      <c r="A6" s="32" t="s">
        <v>235</v>
      </c>
      <c r="B6" s="32" t="s">
        <v>236</v>
      </c>
      <c r="C6" s="32" t="s">
        <v>218</v>
      </c>
      <c r="D6" s="32" t="s">
        <v>226</v>
      </c>
      <c r="E6" s="32" t="s">
        <v>237</v>
      </c>
      <c r="F6" s="32" t="s">
        <v>237</v>
      </c>
      <c r="G6" s="33">
        <v>2204.14</v>
      </c>
      <c r="H6" s="34">
        <v>32330</v>
      </c>
      <c r="I6" t="s">
        <v>222</v>
      </c>
      <c r="J6" s="30" t="s">
        <v>223</v>
      </c>
    </row>
    <row r="7" spans="1:10" ht="12.75" customHeight="1" x14ac:dyDescent="0.2">
      <c r="A7" s="32" t="s">
        <v>238</v>
      </c>
      <c r="B7" s="32" t="s">
        <v>239</v>
      </c>
      <c r="C7" s="32" t="s">
        <v>240</v>
      </c>
      <c r="D7" s="32" t="s">
        <v>226</v>
      </c>
      <c r="E7" s="32" t="s">
        <v>241</v>
      </c>
      <c r="F7" s="32" t="s">
        <v>241</v>
      </c>
      <c r="G7" s="33">
        <v>2016.45</v>
      </c>
      <c r="H7" s="34">
        <v>32625</v>
      </c>
      <c r="I7" t="s">
        <v>222</v>
      </c>
      <c r="J7" s="30" t="s">
        <v>223</v>
      </c>
    </row>
    <row r="8" spans="1:10" ht="12.75" customHeight="1" x14ac:dyDescent="0.2">
      <c r="A8" s="32" t="s">
        <v>242</v>
      </c>
      <c r="B8" s="32" t="s">
        <v>243</v>
      </c>
      <c r="C8" s="32" t="s">
        <v>218</v>
      </c>
      <c r="D8" s="32" t="s">
        <v>226</v>
      </c>
      <c r="E8" s="32" t="s">
        <v>244</v>
      </c>
      <c r="F8" s="32" t="s">
        <v>244</v>
      </c>
      <c r="G8" s="33">
        <v>2208.4899999999998</v>
      </c>
      <c r="H8" s="34">
        <v>34185</v>
      </c>
      <c r="I8" t="s">
        <v>222</v>
      </c>
      <c r="J8" s="30" t="s">
        <v>223</v>
      </c>
    </row>
    <row r="9" spans="1:10" ht="12.75" customHeight="1" x14ac:dyDescent="0.2">
      <c r="A9" s="32" t="s">
        <v>245</v>
      </c>
      <c r="B9" s="32" t="s">
        <v>246</v>
      </c>
      <c r="C9" s="32" t="s">
        <v>247</v>
      </c>
      <c r="D9" s="32" t="s">
        <v>219</v>
      </c>
      <c r="E9" s="32" t="s">
        <v>248</v>
      </c>
      <c r="F9" s="32" t="s">
        <v>249</v>
      </c>
      <c r="G9" s="33">
        <v>553</v>
      </c>
      <c r="H9" s="34">
        <v>41858</v>
      </c>
      <c r="I9" t="s">
        <v>250</v>
      </c>
      <c r="J9" s="30" t="s">
        <v>251</v>
      </c>
    </row>
    <row r="10" spans="1:10" ht="12.75" customHeight="1" x14ac:dyDescent="0.2">
      <c r="A10" s="32" t="s">
        <v>252</v>
      </c>
      <c r="B10" s="32" t="s">
        <v>253</v>
      </c>
      <c r="C10" s="32" t="s">
        <v>247</v>
      </c>
      <c r="D10" s="32" t="s">
        <v>226</v>
      </c>
      <c r="E10" s="32" t="s">
        <v>254</v>
      </c>
      <c r="F10" s="32" t="s">
        <v>254</v>
      </c>
      <c r="G10" s="33">
        <v>2032.99</v>
      </c>
      <c r="H10" s="34">
        <v>31635</v>
      </c>
      <c r="I10" t="s">
        <v>250</v>
      </c>
      <c r="J10" s="30" t="s">
        <v>251</v>
      </c>
    </row>
    <row r="11" spans="1:10" ht="12.75" customHeight="1" x14ac:dyDescent="0.2">
      <c r="A11" s="32" t="s">
        <v>255</v>
      </c>
      <c r="B11" s="32" t="s">
        <v>256</v>
      </c>
      <c r="C11" s="32" t="s">
        <v>247</v>
      </c>
      <c r="D11" s="32" t="s">
        <v>219</v>
      </c>
      <c r="E11" s="32" t="s">
        <v>220</v>
      </c>
      <c r="F11" s="32" t="s">
        <v>257</v>
      </c>
      <c r="G11" s="33">
        <v>2034</v>
      </c>
      <c r="H11" s="34">
        <v>39779</v>
      </c>
      <c r="I11" t="s">
        <v>250</v>
      </c>
      <c r="J11" s="30" t="s">
        <v>251</v>
      </c>
    </row>
    <row r="12" spans="1:10" ht="12.75" customHeight="1" x14ac:dyDescent="0.2">
      <c r="A12" s="32" t="s">
        <v>258</v>
      </c>
      <c r="B12" s="32" t="s">
        <v>259</v>
      </c>
      <c r="C12" s="32" t="s">
        <v>247</v>
      </c>
      <c r="D12" s="32" t="s">
        <v>219</v>
      </c>
      <c r="E12" s="32" t="s">
        <v>260</v>
      </c>
      <c r="F12" s="32" t="s">
        <v>261</v>
      </c>
      <c r="G12" s="33">
        <v>817</v>
      </c>
      <c r="H12" s="34">
        <v>43191</v>
      </c>
      <c r="I12" t="s">
        <v>250</v>
      </c>
      <c r="J12" s="30" t="s">
        <v>251</v>
      </c>
    </row>
    <row r="13" spans="1:10" ht="12.75" customHeight="1" x14ac:dyDescent="0.2">
      <c r="A13" s="32" t="s">
        <v>262</v>
      </c>
      <c r="B13" s="32" t="s">
        <v>263</v>
      </c>
      <c r="C13" s="32" t="s">
        <v>247</v>
      </c>
      <c r="D13" s="32" t="s">
        <v>219</v>
      </c>
      <c r="E13" s="32" t="s">
        <v>264</v>
      </c>
      <c r="F13" s="32" t="s">
        <v>265</v>
      </c>
      <c r="G13" s="33">
        <v>733</v>
      </c>
      <c r="H13" s="34">
        <v>42887</v>
      </c>
      <c r="I13" t="s">
        <v>250</v>
      </c>
      <c r="J13" s="30" t="s">
        <v>251</v>
      </c>
    </row>
    <row r="14" spans="1:10" ht="12.75" customHeight="1" x14ac:dyDescent="0.2">
      <c r="A14" s="32" t="s">
        <v>266</v>
      </c>
      <c r="B14" s="32" t="s">
        <v>267</v>
      </c>
      <c r="C14" s="32" t="s">
        <v>268</v>
      </c>
      <c r="D14" s="32" t="s">
        <v>219</v>
      </c>
      <c r="E14" s="32" t="s">
        <v>269</v>
      </c>
      <c r="F14" s="32" t="s">
        <v>270</v>
      </c>
      <c r="G14" s="33">
        <v>1412</v>
      </c>
      <c r="H14" s="34">
        <v>43191</v>
      </c>
      <c r="I14" t="s">
        <v>250</v>
      </c>
      <c r="J14" s="30" t="s">
        <v>251</v>
      </c>
    </row>
    <row r="15" spans="1:10" ht="12.75" customHeight="1" x14ac:dyDescent="0.2">
      <c r="A15" s="32" t="s">
        <v>271</v>
      </c>
      <c r="B15" s="32" t="s">
        <v>272</v>
      </c>
      <c r="C15" s="32" t="s">
        <v>273</v>
      </c>
      <c r="D15" s="32" t="s">
        <v>219</v>
      </c>
      <c r="E15" s="32" t="s">
        <v>233</v>
      </c>
      <c r="F15" s="32" t="s">
        <v>274</v>
      </c>
      <c r="G15" s="33">
        <v>1760</v>
      </c>
      <c r="H15" s="34">
        <v>41673</v>
      </c>
      <c r="I15" t="s">
        <v>250</v>
      </c>
      <c r="J15" s="30" t="s">
        <v>251</v>
      </c>
    </row>
    <row r="16" spans="1:10" ht="12.75" customHeight="1" x14ac:dyDescent="0.2">
      <c r="A16" s="32" t="s">
        <v>275</v>
      </c>
      <c r="B16" s="32" t="s">
        <v>276</v>
      </c>
      <c r="C16" s="32" t="s">
        <v>268</v>
      </c>
      <c r="D16" s="32" t="s">
        <v>219</v>
      </c>
      <c r="E16" s="32" t="s">
        <v>269</v>
      </c>
      <c r="F16" s="32" t="s">
        <v>270</v>
      </c>
      <c r="G16" s="33">
        <v>1412</v>
      </c>
      <c r="H16" s="34">
        <v>42948</v>
      </c>
      <c r="I16" t="s">
        <v>250</v>
      </c>
      <c r="J16" s="30" t="s">
        <v>251</v>
      </c>
    </row>
    <row r="17" spans="1:10" ht="12.75" customHeight="1" x14ac:dyDescent="0.2">
      <c r="A17" s="32" t="s">
        <v>277</v>
      </c>
      <c r="B17" s="32" t="s">
        <v>278</v>
      </c>
      <c r="C17" s="32" t="s">
        <v>268</v>
      </c>
      <c r="D17" s="32" t="s">
        <v>219</v>
      </c>
      <c r="E17" s="32" t="s">
        <v>279</v>
      </c>
      <c r="F17" s="32" t="s">
        <v>280</v>
      </c>
      <c r="G17" s="33">
        <v>1676</v>
      </c>
      <c r="H17" s="34">
        <v>42887</v>
      </c>
      <c r="I17" t="s">
        <v>250</v>
      </c>
      <c r="J17" s="30" t="s">
        <v>251</v>
      </c>
    </row>
    <row r="18" spans="1:10" ht="12.75" customHeight="1" x14ac:dyDescent="0.2">
      <c r="A18" s="32" t="s">
        <v>281</v>
      </c>
      <c r="B18" s="32" t="s">
        <v>282</v>
      </c>
      <c r="C18" s="32" t="s">
        <v>247</v>
      </c>
      <c r="D18" s="32" t="s">
        <v>219</v>
      </c>
      <c r="E18" s="32" t="s">
        <v>248</v>
      </c>
      <c r="F18" s="32" t="s">
        <v>249</v>
      </c>
      <c r="G18" s="33">
        <v>553</v>
      </c>
      <c r="H18" s="34">
        <v>40673</v>
      </c>
      <c r="I18" t="s">
        <v>250</v>
      </c>
      <c r="J18" s="30" t="s">
        <v>251</v>
      </c>
    </row>
    <row r="19" spans="1:10" ht="12.75" customHeight="1" x14ac:dyDescent="0.2">
      <c r="A19" s="32" t="s">
        <v>283</v>
      </c>
      <c r="B19" s="32" t="s">
        <v>284</v>
      </c>
      <c r="C19" s="32" t="s">
        <v>247</v>
      </c>
      <c r="D19" s="32" t="s">
        <v>226</v>
      </c>
      <c r="E19" s="32" t="s">
        <v>285</v>
      </c>
      <c r="F19" s="32" t="s">
        <v>285</v>
      </c>
      <c r="G19" s="33">
        <v>1968.7</v>
      </c>
      <c r="H19" s="34">
        <v>33605</v>
      </c>
      <c r="I19" t="s">
        <v>250</v>
      </c>
      <c r="J19" s="30" t="s">
        <v>251</v>
      </c>
    </row>
    <row r="20" spans="1:10" ht="12.75" customHeight="1" x14ac:dyDescent="0.2">
      <c r="A20" s="32" t="s">
        <v>286</v>
      </c>
      <c r="B20" s="32" t="s">
        <v>287</v>
      </c>
      <c r="C20" s="32" t="s">
        <v>268</v>
      </c>
      <c r="D20" s="32" t="s">
        <v>219</v>
      </c>
      <c r="E20" s="32" t="s">
        <v>264</v>
      </c>
      <c r="F20" s="32" t="s">
        <v>288</v>
      </c>
      <c r="G20" s="33">
        <v>733</v>
      </c>
      <c r="H20" s="34">
        <v>40805</v>
      </c>
      <c r="I20" t="s">
        <v>250</v>
      </c>
      <c r="J20" s="30" t="s">
        <v>251</v>
      </c>
    </row>
    <row r="21" spans="1:10" ht="12.75" customHeight="1" x14ac:dyDescent="0.2">
      <c r="A21" s="32" t="s">
        <v>289</v>
      </c>
      <c r="B21" s="32" t="s">
        <v>290</v>
      </c>
      <c r="C21" s="32" t="s">
        <v>273</v>
      </c>
      <c r="D21" s="32" t="s">
        <v>219</v>
      </c>
      <c r="E21" s="32" t="s">
        <v>233</v>
      </c>
      <c r="F21" s="32" t="s">
        <v>274</v>
      </c>
      <c r="G21" s="33">
        <v>1760</v>
      </c>
      <c r="H21" s="34">
        <v>42948</v>
      </c>
      <c r="I21" t="s">
        <v>250</v>
      </c>
      <c r="J21" s="30" t="s">
        <v>251</v>
      </c>
    </row>
    <row r="22" spans="1:10" ht="12.75" customHeight="1" x14ac:dyDescent="0.2">
      <c r="A22" s="32" t="s">
        <v>291</v>
      </c>
      <c r="B22" s="32" t="s">
        <v>292</v>
      </c>
      <c r="C22" s="32" t="s">
        <v>247</v>
      </c>
      <c r="D22" s="32" t="s">
        <v>219</v>
      </c>
      <c r="E22" s="32" t="s">
        <v>248</v>
      </c>
      <c r="F22" s="32" t="s">
        <v>249</v>
      </c>
      <c r="G22" s="33">
        <v>553</v>
      </c>
      <c r="H22" s="34">
        <v>42887</v>
      </c>
      <c r="I22" t="s">
        <v>250</v>
      </c>
      <c r="J22" s="30" t="s">
        <v>251</v>
      </c>
    </row>
    <row r="23" spans="1:10" ht="12.75" customHeight="1" x14ac:dyDescent="0.2">
      <c r="A23" s="32" t="s">
        <v>293</v>
      </c>
      <c r="B23" s="32" t="s">
        <v>294</v>
      </c>
      <c r="C23" s="32" t="s">
        <v>273</v>
      </c>
      <c r="D23" s="32" t="s">
        <v>226</v>
      </c>
      <c r="E23" s="32" t="s">
        <v>295</v>
      </c>
      <c r="F23" s="32" t="s">
        <v>295</v>
      </c>
      <c r="G23" s="33">
        <v>2332.64</v>
      </c>
      <c r="H23" s="34">
        <v>36008</v>
      </c>
      <c r="I23" t="s">
        <v>250</v>
      </c>
      <c r="J23" s="30" t="s">
        <v>251</v>
      </c>
    </row>
    <row r="24" spans="1:10" ht="12.75" customHeight="1" x14ac:dyDescent="0.2">
      <c r="A24" s="32" t="s">
        <v>296</v>
      </c>
      <c r="B24" s="32" t="s">
        <v>297</v>
      </c>
      <c r="C24" s="32" t="s">
        <v>268</v>
      </c>
      <c r="D24" s="32" t="s">
        <v>226</v>
      </c>
      <c r="E24" s="32" t="s">
        <v>298</v>
      </c>
      <c r="F24" s="32" t="s">
        <v>298</v>
      </c>
      <c r="G24" s="33">
        <v>1688.38</v>
      </c>
      <c r="H24" s="34">
        <v>33826</v>
      </c>
      <c r="I24" t="s">
        <v>250</v>
      </c>
      <c r="J24" s="30" t="s">
        <v>251</v>
      </c>
    </row>
    <row r="25" spans="1:10" ht="12.75" customHeight="1" x14ac:dyDescent="0.2">
      <c r="A25" s="32" t="s">
        <v>299</v>
      </c>
      <c r="B25" s="32" t="s">
        <v>300</v>
      </c>
      <c r="C25" s="32" t="s">
        <v>268</v>
      </c>
      <c r="D25" s="32" t="s">
        <v>219</v>
      </c>
      <c r="E25" s="32" t="s">
        <v>301</v>
      </c>
      <c r="F25" s="32" t="s">
        <v>302</v>
      </c>
      <c r="G25" s="33">
        <v>527</v>
      </c>
      <c r="H25" s="34">
        <v>43101</v>
      </c>
      <c r="I25" t="s">
        <v>250</v>
      </c>
      <c r="J25" s="30" t="s">
        <v>251</v>
      </c>
    </row>
    <row r="26" spans="1:10" ht="12.75" customHeight="1" x14ac:dyDescent="0.2">
      <c r="A26" s="32" t="s">
        <v>303</v>
      </c>
      <c r="B26" s="32" t="s">
        <v>304</v>
      </c>
      <c r="C26" s="32" t="s">
        <v>247</v>
      </c>
      <c r="D26" s="32" t="s">
        <v>219</v>
      </c>
      <c r="E26" s="32" t="s">
        <v>248</v>
      </c>
      <c r="F26" s="32" t="s">
        <v>249</v>
      </c>
      <c r="G26" s="33">
        <v>553</v>
      </c>
      <c r="H26" s="34">
        <v>43040</v>
      </c>
      <c r="I26" t="s">
        <v>250</v>
      </c>
      <c r="J26" s="30" t="s">
        <v>251</v>
      </c>
    </row>
    <row r="27" spans="1:10" ht="12.75" customHeight="1" x14ac:dyDescent="0.2">
      <c r="A27" s="32" t="s">
        <v>305</v>
      </c>
      <c r="B27" s="32" t="s">
        <v>306</v>
      </c>
      <c r="C27" s="32" t="s">
        <v>247</v>
      </c>
      <c r="D27" s="32" t="s">
        <v>219</v>
      </c>
      <c r="E27" s="32" t="s">
        <v>248</v>
      </c>
      <c r="F27" s="32" t="s">
        <v>249</v>
      </c>
      <c r="G27" s="33">
        <v>553</v>
      </c>
      <c r="H27" s="34">
        <v>39815</v>
      </c>
      <c r="I27" t="s">
        <v>250</v>
      </c>
      <c r="J27" s="30" t="s">
        <v>251</v>
      </c>
    </row>
    <row r="28" spans="1:10" ht="12.75" customHeight="1" x14ac:dyDescent="0.2">
      <c r="A28" s="32" t="s">
        <v>307</v>
      </c>
      <c r="B28" s="32" t="s">
        <v>308</v>
      </c>
      <c r="C28" s="32" t="s">
        <v>268</v>
      </c>
      <c r="D28" s="32" t="s">
        <v>226</v>
      </c>
      <c r="E28" s="32" t="s">
        <v>244</v>
      </c>
      <c r="F28" s="32" t="s">
        <v>244</v>
      </c>
      <c r="G28" s="33">
        <v>2624.23</v>
      </c>
      <c r="H28" s="34">
        <v>32308</v>
      </c>
      <c r="I28" t="s">
        <v>250</v>
      </c>
      <c r="J28" s="30" t="s">
        <v>251</v>
      </c>
    </row>
    <row r="29" spans="1:10" ht="12.75" customHeight="1" x14ac:dyDescent="0.2">
      <c r="A29" s="32" t="s">
        <v>309</v>
      </c>
      <c r="B29" s="32" t="s">
        <v>310</v>
      </c>
      <c r="C29" s="32" t="s">
        <v>247</v>
      </c>
      <c r="D29" s="32" t="s">
        <v>219</v>
      </c>
      <c r="E29" s="32" t="s">
        <v>220</v>
      </c>
      <c r="F29" s="32" t="s">
        <v>257</v>
      </c>
      <c r="G29" s="33">
        <v>2034</v>
      </c>
      <c r="H29" s="34">
        <v>39780</v>
      </c>
      <c r="I29" t="s">
        <v>250</v>
      </c>
      <c r="J29" s="30" t="s">
        <v>251</v>
      </c>
    </row>
    <row r="30" spans="1:10" ht="12.75" customHeight="1" x14ac:dyDescent="0.2">
      <c r="A30" s="32" t="s">
        <v>311</v>
      </c>
      <c r="B30" s="32" t="s">
        <v>312</v>
      </c>
      <c r="C30" s="32" t="s">
        <v>247</v>
      </c>
      <c r="D30" s="32" t="s">
        <v>219</v>
      </c>
      <c r="E30" s="32" t="s">
        <v>260</v>
      </c>
      <c r="F30" s="32" t="s">
        <v>261</v>
      </c>
      <c r="G30" s="33">
        <v>817</v>
      </c>
      <c r="H30" s="34">
        <v>41032</v>
      </c>
      <c r="I30" t="s">
        <v>250</v>
      </c>
      <c r="J30" s="30" t="s">
        <v>251</v>
      </c>
    </row>
    <row r="31" spans="1:10" ht="12.75" customHeight="1" x14ac:dyDescent="0.2">
      <c r="A31" s="32" t="s">
        <v>313</v>
      </c>
      <c r="B31" s="32" t="s">
        <v>314</v>
      </c>
      <c r="C31" s="32" t="s">
        <v>268</v>
      </c>
      <c r="D31" s="32" t="s">
        <v>219</v>
      </c>
      <c r="E31" s="32" t="s">
        <v>264</v>
      </c>
      <c r="F31" s="32" t="s">
        <v>315</v>
      </c>
      <c r="G31" s="33">
        <v>733</v>
      </c>
      <c r="H31" s="34">
        <v>41401</v>
      </c>
      <c r="I31" t="s">
        <v>250</v>
      </c>
      <c r="J31" s="30" t="s">
        <v>251</v>
      </c>
    </row>
    <row r="32" spans="1:10" ht="12.75" customHeight="1" x14ac:dyDescent="0.2">
      <c r="A32" s="32" t="s">
        <v>316</v>
      </c>
      <c r="B32" s="32" t="s">
        <v>317</v>
      </c>
      <c r="C32" s="32" t="s">
        <v>247</v>
      </c>
      <c r="D32" s="32" t="s">
        <v>219</v>
      </c>
      <c r="E32" s="32" t="s">
        <v>260</v>
      </c>
      <c r="F32" s="32" t="s">
        <v>261</v>
      </c>
      <c r="G32" s="33">
        <v>817</v>
      </c>
      <c r="H32" s="34">
        <v>40205</v>
      </c>
      <c r="I32" t="s">
        <v>250</v>
      </c>
      <c r="J32" s="30" t="s">
        <v>251</v>
      </c>
    </row>
    <row r="33" spans="1:10" ht="12.75" customHeight="1" x14ac:dyDescent="0.2">
      <c r="A33" s="32" t="s">
        <v>318</v>
      </c>
      <c r="B33" s="32" t="s">
        <v>319</v>
      </c>
      <c r="C33" s="32" t="s">
        <v>268</v>
      </c>
      <c r="D33" s="32" t="s">
        <v>226</v>
      </c>
      <c r="E33" s="32" t="s">
        <v>320</v>
      </c>
      <c r="F33" s="32" t="s">
        <v>320</v>
      </c>
      <c r="G33" s="33">
        <v>1727.05</v>
      </c>
      <c r="H33" s="34">
        <v>33690</v>
      </c>
      <c r="I33" t="s">
        <v>250</v>
      </c>
      <c r="J33" s="30" t="s">
        <v>251</v>
      </c>
    </row>
    <row r="34" spans="1:10" ht="12.75" customHeight="1" x14ac:dyDescent="0.2">
      <c r="A34" s="32" t="s">
        <v>321</v>
      </c>
      <c r="B34" s="32" t="s">
        <v>322</v>
      </c>
      <c r="C34" s="32" t="s">
        <v>247</v>
      </c>
      <c r="D34" s="32" t="s">
        <v>226</v>
      </c>
      <c r="E34" s="32" t="s">
        <v>323</v>
      </c>
      <c r="F34" s="32" t="s">
        <v>323</v>
      </c>
      <c r="G34" s="33">
        <v>1755.08</v>
      </c>
      <c r="H34" s="34">
        <v>32660</v>
      </c>
      <c r="I34" t="s">
        <v>250</v>
      </c>
      <c r="J34" s="30" t="s">
        <v>251</v>
      </c>
    </row>
    <row r="35" spans="1:10" ht="12.75" customHeight="1" x14ac:dyDescent="0.2">
      <c r="A35" s="32" t="s">
        <v>324</v>
      </c>
      <c r="B35" s="32" t="s">
        <v>325</v>
      </c>
      <c r="C35" s="32" t="s">
        <v>247</v>
      </c>
      <c r="D35" s="32" t="s">
        <v>226</v>
      </c>
      <c r="E35" s="32" t="s">
        <v>326</v>
      </c>
      <c r="F35" s="32" t="s">
        <v>326</v>
      </c>
      <c r="G35" s="33">
        <v>1734.59</v>
      </c>
      <c r="H35" s="34">
        <v>34243</v>
      </c>
      <c r="I35" t="s">
        <v>250</v>
      </c>
      <c r="J35" s="30" t="s">
        <v>251</v>
      </c>
    </row>
    <row r="36" spans="1:10" ht="12.75" customHeight="1" x14ac:dyDescent="0.2">
      <c r="A36" s="32" t="s">
        <v>327</v>
      </c>
      <c r="B36" s="32" t="s">
        <v>328</v>
      </c>
      <c r="C36" s="32" t="s">
        <v>329</v>
      </c>
      <c r="D36" s="32" t="s">
        <v>219</v>
      </c>
      <c r="E36" s="32" t="s">
        <v>264</v>
      </c>
      <c r="F36" s="32" t="s">
        <v>265</v>
      </c>
      <c r="G36" s="33">
        <v>733</v>
      </c>
      <c r="H36" s="34">
        <v>42887</v>
      </c>
      <c r="I36" t="s">
        <v>250</v>
      </c>
      <c r="J36" s="30" t="s">
        <v>251</v>
      </c>
    </row>
    <row r="37" spans="1:10" ht="12.75" customHeight="1" x14ac:dyDescent="0.2">
      <c r="A37" s="32" t="s">
        <v>330</v>
      </c>
      <c r="B37" s="32" t="s">
        <v>331</v>
      </c>
      <c r="C37" s="32" t="s">
        <v>247</v>
      </c>
      <c r="D37" s="32" t="s">
        <v>219</v>
      </c>
      <c r="E37" s="32" t="s">
        <v>248</v>
      </c>
      <c r="F37" s="32" t="s">
        <v>249</v>
      </c>
      <c r="G37" s="33">
        <v>553</v>
      </c>
      <c r="H37" s="34">
        <v>41898</v>
      </c>
      <c r="I37" t="s">
        <v>250</v>
      </c>
      <c r="J37" s="30" t="s">
        <v>251</v>
      </c>
    </row>
    <row r="38" spans="1:10" ht="12.75" customHeight="1" x14ac:dyDescent="0.2">
      <c r="A38" s="32" t="s">
        <v>332</v>
      </c>
      <c r="B38" s="32" t="s">
        <v>333</v>
      </c>
      <c r="C38" s="32" t="s">
        <v>268</v>
      </c>
      <c r="D38" s="32" t="s">
        <v>226</v>
      </c>
      <c r="E38" s="32" t="s">
        <v>295</v>
      </c>
      <c r="F38" s="32" t="s">
        <v>295</v>
      </c>
      <c r="G38" s="33">
        <v>2023.34</v>
      </c>
      <c r="H38" s="34">
        <v>37627</v>
      </c>
      <c r="I38" t="s">
        <v>250</v>
      </c>
      <c r="J38" s="30" t="s">
        <v>251</v>
      </c>
    </row>
    <row r="39" spans="1:10" ht="12.75" customHeight="1" x14ac:dyDescent="0.2">
      <c r="A39" s="32" t="s">
        <v>334</v>
      </c>
      <c r="B39" s="32" t="s">
        <v>335</v>
      </c>
      <c r="C39" s="32" t="s">
        <v>273</v>
      </c>
      <c r="D39" s="32" t="s">
        <v>219</v>
      </c>
      <c r="E39" s="32" t="s">
        <v>336</v>
      </c>
      <c r="F39" s="32" t="s">
        <v>337</v>
      </c>
      <c r="G39" s="33">
        <v>2308</v>
      </c>
      <c r="H39" s="34">
        <v>42047</v>
      </c>
      <c r="I39" t="s">
        <v>250</v>
      </c>
      <c r="J39" s="30" t="s">
        <v>251</v>
      </c>
    </row>
    <row r="40" spans="1:10" ht="12.75" customHeight="1" x14ac:dyDescent="0.2">
      <c r="A40" s="32" t="s">
        <v>338</v>
      </c>
      <c r="B40" s="32" t="s">
        <v>339</v>
      </c>
      <c r="C40" s="32" t="s">
        <v>329</v>
      </c>
      <c r="D40" s="32" t="s">
        <v>226</v>
      </c>
      <c r="E40" s="32" t="s">
        <v>340</v>
      </c>
      <c r="F40" s="32" t="s">
        <v>340</v>
      </c>
      <c r="G40" s="33">
        <v>1609.74</v>
      </c>
      <c r="H40" s="34">
        <v>31315</v>
      </c>
      <c r="I40" t="s">
        <v>250</v>
      </c>
      <c r="J40" s="30" t="s">
        <v>251</v>
      </c>
    </row>
    <row r="41" spans="1:10" ht="12.75" customHeight="1" x14ac:dyDescent="0.2">
      <c r="A41" s="32" t="s">
        <v>341</v>
      </c>
      <c r="B41" s="32" t="s">
        <v>342</v>
      </c>
      <c r="C41" s="32" t="s">
        <v>247</v>
      </c>
      <c r="D41" s="32" t="s">
        <v>226</v>
      </c>
      <c r="E41" s="32" t="s">
        <v>326</v>
      </c>
      <c r="F41" s="32" t="s">
        <v>326</v>
      </c>
      <c r="G41" s="33">
        <v>1548.92</v>
      </c>
      <c r="H41" s="34">
        <v>37013</v>
      </c>
      <c r="I41" t="s">
        <v>250</v>
      </c>
      <c r="J41" s="30" t="s">
        <v>251</v>
      </c>
    </row>
    <row r="42" spans="1:10" ht="12.75" customHeight="1" x14ac:dyDescent="0.2">
      <c r="A42" s="32" t="s">
        <v>343</v>
      </c>
      <c r="B42" s="32" t="s">
        <v>344</v>
      </c>
      <c r="C42" s="32" t="s">
        <v>247</v>
      </c>
      <c r="D42" s="32" t="s">
        <v>226</v>
      </c>
      <c r="E42" s="32" t="s">
        <v>345</v>
      </c>
      <c r="F42" s="32" t="s">
        <v>345</v>
      </c>
      <c r="G42" s="33">
        <v>2010.26</v>
      </c>
      <c r="H42" s="34">
        <v>33208</v>
      </c>
      <c r="I42" t="s">
        <v>250</v>
      </c>
      <c r="J42" s="30" t="s">
        <v>251</v>
      </c>
    </row>
    <row r="43" spans="1:10" ht="12.75" customHeight="1" x14ac:dyDescent="0.2">
      <c r="A43" s="32" t="s">
        <v>346</v>
      </c>
      <c r="B43" s="32" t="s">
        <v>347</v>
      </c>
      <c r="C43" s="32" t="s">
        <v>273</v>
      </c>
      <c r="D43" s="32" t="s">
        <v>226</v>
      </c>
      <c r="E43" s="32" t="s">
        <v>233</v>
      </c>
      <c r="F43" s="32" t="s">
        <v>274</v>
      </c>
      <c r="G43" s="33">
        <v>1760</v>
      </c>
      <c r="H43" s="34">
        <v>40819</v>
      </c>
      <c r="I43" t="s">
        <v>250</v>
      </c>
      <c r="J43" s="30" t="s">
        <v>251</v>
      </c>
    </row>
    <row r="44" spans="1:10" ht="12.75" customHeight="1" x14ac:dyDescent="0.2">
      <c r="A44" s="32" t="s">
        <v>348</v>
      </c>
      <c r="B44" s="32" t="s">
        <v>349</v>
      </c>
      <c r="C44" s="32" t="s">
        <v>268</v>
      </c>
      <c r="D44" s="32" t="s">
        <v>226</v>
      </c>
      <c r="E44" s="32" t="s">
        <v>350</v>
      </c>
      <c r="F44" s="32" t="s">
        <v>350</v>
      </c>
      <c r="G44" s="33">
        <v>2876.7</v>
      </c>
      <c r="H44" s="34">
        <v>32638</v>
      </c>
      <c r="I44" t="s">
        <v>250</v>
      </c>
      <c r="J44" s="30" t="s">
        <v>251</v>
      </c>
    </row>
    <row r="45" spans="1:10" ht="12.75" customHeight="1" x14ac:dyDescent="0.2">
      <c r="A45" s="32" t="s">
        <v>351</v>
      </c>
      <c r="B45" s="32" t="s">
        <v>352</v>
      </c>
      <c r="C45" s="32" t="s">
        <v>268</v>
      </c>
      <c r="D45" s="32" t="s">
        <v>219</v>
      </c>
      <c r="E45" s="32" t="s">
        <v>220</v>
      </c>
      <c r="F45" s="32" t="s">
        <v>353</v>
      </c>
      <c r="G45" s="33">
        <v>2034</v>
      </c>
      <c r="H45" s="34">
        <v>42948</v>
      </c>
      <c r="I45" t="s">
        <v>250</v>
      </c>
      <c r="J45" s="30" t="s">
        <v>251</v>
      </c>
    </row>
    <row r="46" spans="1:10" ht="12.75" customHeight="1" x14ac:dyDescent="0.2">
      <c r="A46" s="32" t="s">
        <v>354</v>
      </c>
      <c r="B46" s="32" t="s">
        <v>355</v>
      </c>
      <c r="C46" s="32" t="s">
        <v>247</v>
      </c>
      <c r="D46" s="32" t="s">
        <v>226</v>
      </c>
      <c r="E46" s="32" t="s">
        <v>237</v>
      </c>
      <c r="F46" s="32" t="s">
        <v>237</v>
      </c>
      <c r="G46" s="33">
        <v>2223.5300000000002</v>
      </c>
      <c r="H46" s="34">
        <v>34568</v>
      </c>
      <c r="I46" t="s">
        <v>250</v>
      </c>
      <c r="J46" s="30" t="s">
        <v>251</v>
      </c>
    </row>
    <row r="47" spans="1:10" ht="12.75" customHeight="1" x14ac:dyDescent="0.2">
      <c r="A47" s="32" t="s">
        <v>356</v>
      </c>
      <c r="B47" s="32" t="s">
        <v>357</v>
      </c>
      <c r="C47" s="32" t="s">
        <v>268</v>
      </c>
      <c r="D47" s="32" t="s">
        <v>226</v>
      </c>
      <c r="E47" s="32" t="s">
        <v>358</v>
      </c>
      <c r="F47" s="32" t="s">
        <v>358</v>
      </c>
      <c r="G47" s="33">
        <v>2028.37</v>
      </c>
      <c r="H47" s="34">
        <v>34682</v>
      </c>
      <c r="I47" t="s">
        <v>250</v>
      </c>
      <c r="J47" s="30" t="s">
        <v>251</v>
      </c>
    </row>
    <row r="48" spans="1:10" ht="12.75" customHeight="1" x14ac:dyDescent="0.2">
      <c r="A48" s="32" t="s">
        <v>359</v>
      </c>
      <c r="B48" s="32" t="s">
        <v>360</v>
      </c>
      <c r="C48" s="32" t="s">
        <v>329</v>
      </c>
      <c r="D48" s="32" t="s">
        <v>219</v>
      </c>
      <c r="E48" s="32" t="s">
        <v>264</v>
      </c>
      <c r="F48" s="32" t="s">
        <v>265</v>
      </c>
      <c r="G48" s="33">
        <v>733</v>
      </c>
      <c r="H48" s="34">
        <v>43191</v>
      </c>
      <c r="I48" t="s">
        <v>250</v>
      </c>
      <c r="J48" s="30" t="s">
        <v>251</v>
      </c>
    </row>
    <row r="49" spans="1:10" ht="12.75" customHeight="1" x14ac:dyDescent="0.2">
      <c r="A49" s="32" t="s">
        <v>361</v>
      </c>
      <c r="B49" s="32" t="s">
        <v>362</v>
      </c>
      <c r="C49" s="32" t="s">
        <v>273</v>
      </c>
      <c r="D49" s="32" t="s">
        <v>219</v>
      </c>
      <c r="E49" s="32" t="s">
        <v>220</v>
      </c>
      <c r="F49" s="32" t="s">
        <v>363</v>
      </c>
      <c r="G49" s="33">
        <v>2034</v>
      </c>
      <c r="H49" s="34">
        <v>41526</v>
      </c>
      <c r="I49" t="s">
        <v>250</v>
      </c>
      <c r="J49" s="30" t="s">
        <v>251</v>
      </c>
    </row>
    <row r="50" spans="1:10" ht="12.75" customHeight="1" x14ac:dyDescent="0.2">
      <c r="A50" s="32" t="s">
        <v>364</v>
      </c>
      <c r="B50" s="32" t="s">
        <v>365</v>
      </c>
      <c r="C50" s="32" t="s">
        <v>247</v>
      </c>
      <c r="D50" s="32" t="s">
        <v>219</v>
      </c>
      <c r="E50" s="32" t="s">
        <v>220</v>
      </c>
      <c r="F50" s="32" t="s">
        <v>366</v>
      </c>
      <c r="G50" s="33">
        <v>2034</v>
      </c>
      <c r="H50" s="34">
        <v>41849</v>
      </c>
      <c r="I50" t="s">
        <v>250</v>
      </c>
      <c r="J50" s="30" t="s">
        <v>251</v>
      </c>
    </row>
    <row r="51" spans="1:10" ht="12.75" customHeight="1" x14ac:dyDescent="0.2">
      <c r="A51" s="32" t="s">
        <v>367</v>
      </c>
      <c r="B51" s="32" t="s">
        <v>368</v>
      </c>
      <c r="C51" s="32" t="s">
        <v>273</v>
      </c>
      <c r="D51" s="32" t="s">
        <v>226</v>
      </c>
      <c r="E51" s="32" t="s">
        <v>369</v>
      </c>
      <c r="F51" s="32" t="s">
        <v>369</v>
      </c>
      <c r="G51" s="33">
        <v>2014.01</v>
      </c>
      <c r="H51" s="34">
        <v>33207</v>
      </c>
      <c r="I51" t="s">
        <v>250</v>
      </c>
      <c r="J51" s="30" t="s">
        <v>251</v>
      </c>
    </row>
    <row r="52" spans="1:10" ht="12.75" customHeight="1" x14ac:dyDescent="0.2">
      <c r="A52" s="32" t="s">
        <v>370</v>
      </c>
      <c r="B52" s="32" t="s">
        <v>371</v>
      </c>
      <c r="C52" s="32" t="s">
        <v>372</v>
      </c>
      <c r="D52" s="32" t="s">
        <v>219</v>
      </c>
      <c r="E52" s="32" t="s">
        <v>264</v>
      </c>
      <c r="F52" s="32" t="s">
        <v>373</v>
      </c>
      <c r="G52" s="33">
        <v>733</v>
      </c>
      <c r="H52" s="34">
        <v>43009</v>
      </c>
      <c r="I52" t="s">
        <v>250</v>
      </c>
      <c r="J52" s="30" t="s">
        <v>251</v>
      </c>
    </row>
    <row r="53" spans="1:10" ht="12.75" customHeight="1" x14ac:dyDescent="0.2">
      <c r="A53" s="32" t="s">
        <v>374</v>
      </c>
      <c r="B53" s="32" t="s">
        <v>375</v>
      </c>
      <c r="C53" s="32" t="s">
        <v>247</v>
      </c>
      <c r="D53" s="32" t="s">
        <v>219</v>
      </c>
      <c r="E53" s="32" t="s">
        <v>248</v>
      </c>
      <c r="F53" s="32" t="s">
        <v>249</v>
      </c>
      <c r="G53" s="33">
        <v>553</v>
      </c>
      <c r="H53" s="34">
        <v>42887</v>
      </c>
      <c r="I53" t="s">
        <v>250</v>
      </c>
      <c r="J53" s="30" t="s">
        <v>251</v>
      </c>
    </row>
    <row r="54" spans="1:10" ht="12.75" customHeight="1" x14ac:dyDescent="0.2">
      <c r="A54" s="32" t="s">
        <v>376</v>
      </c>
      <c r="B54" s="32" t="s">
        <v>377</v>
      </c>
      <c r="C54" s="32" t="s">
        <v>372</v>
      </c>
      <c r="D54" s="32" t="s">
        <v>219</v>
      </c>
      <c r="E54" s="32" t="s">
        <v>264</v>
      </c>
      <c r="F54" s="32" t="s">
        <v>378</v>
      </c>
      <c r="G54" s="33">
        <v>733</v>
      </c>
      <c r="H54" s="34">
        <v>42917</v>
      </c>
      <c r="I54" t="s">
        <v>250</v>
      </c>
      <c r="J54" s="30" t="s">
        <v>251</v>
      </c>
    </row>
    <row r="55" spans="1:10" ht="12.75" customHeight="1" x14ac:dyDescent="0.2">
      <c r="A55" s="32" t="s">
        <v>379</v>
      </c>
      <c r="B55" s="32" t="s">
        <v>380</v>
      </c>
      <c r="C55" s="32" t="s">
        <v>247</v>
      </c>
      <c r="D55" s="32" t="s">
        <v>219</v>
      </c>
      <c r="E55" s="32" t="s">
        <v>248</v>
      </c>
      <c r="F55" s="32" t="s">
        <v>249</v>
      </c>
      <c r="G55" s="33">
        <v>553</v>
      </c>
      <c r="H55" s="34">
        <v>40205</v>
      </c>
      <c r="I55" t="s">
        <v>250</v>
      </c>
      <c r="J55" s="30" t="s">
        <v>251</v>
      </c>
    </row>
    <row r="56" spans="1:10" ht="12.75" customHeight="1" x14ac:dyDescent="0.2">
      <c r="A56" s="32" t="s">
        <v>381</v>
      </c>
      <c r="B56" s="32" t="s">
        <v>382</v>
      </c>
      <c r="C56" s="32" t="s">
        <v>247</v>
      </c>
      <c r="D56" s="32" t="s">
        <v>219</v>
      </c>
      <c r="E56" s="32" t="s">
        <v>248</v>
      </c>
      <c r="F56" s="32" t="s">
        <v>249</v>
      </c>
      <c r="G56" s="33">
        <v>553</v>
      </c>
      <c r="H56" s="34">
        <v>41927</v>
      </c>
      <c r="I56" t="s">
        <v>250</v>
      </c>
      <c r="J56" s="30" t="s">
        <v>251</v>
      </c>
    </row>
    <row r="57" spans="1:10" ht="12.75" customHeight="1" x14ac:dyDescent="0.2">
      <c r="A57" s="32" t="s">
        <v>383</v>
      </c>
      <c r="B57" s="32" t="s">
        <v>384</v>
      </c>
      <c r="C57" s="32" t="s">
        <v>247</v>
      </c>
      <c r="D57" s="32" t="s">
        <v>219</v>
      </c>
      <c r="E57" s="32" t="s">
        <v>279</v>
      </c>
      <c r="F57" s="32" t="s">
        <v>385</v>
      </c>
      <c r="G57" s="33">
        <v>1676</v>
      </c>
      <c r="H57" s="34">
        <v>41285</v>
      </c>
      <c r="I57" t="s">
        <v>250</v>
      </c>
      <c r="J57" s="30" t="s">
        <v>251</v>
      </c>
    </row>
    <row r="58" spans="1:10" ht="12.75" customHeight="1" x14ac:dyDescent="0.2">
      <c r="A58" s="32" t="s">
        <v>386</v>
      </c>
      <c r="B58" s="32" t="s">
        <v>387</v>
      </c>
      <c r="C58" s="32" t="s">
        <v>372</v>
      </c>
      <c r="D58" s="32" t="s">
        <v>219</v>
      </c>
      <c r="E58" s="32" t="s">
        <v>264</v>
      </c>
      <c r="F58" s="32" t="s">
        <v>373</v>
      </c>
      <c r="G58" s="33">
        <v>733</v>
      </c>
      <c r="H58" s="34">
        <v>42917</v>
      </c>
      <c r="I58" t="s">
        <v>250</v>
      </c>
      <c r="J58" s="30" t="s">
        <v>251</v>
      </c>
    </row>
    <row r="59" spans="1:10" ht="12.75" customHeight="1" x14ac:dyDescent="0.2">
      <c r="A59" s="32" t="s">
        <v>388</v>
      </c>
      <c r="B59" s="32" t="s">
        <v>389</v>
      </c>
      <c r="C59" s="32" t="s">
        <v>247</v>
      </c>
      <c r="D59" s="32" t="s">
        <v>219</v>
      </c>
      <c r="E59" s="32" t="s">
        <v>248</v>
      </c>
      <c r="F59" s="32" t="s">
        <v>249</v>
      </c>
      <c r="G59" s="33">
        <v>553</v>
      </c>
      <c r="H59" s="34">
        <v>42948</v>
      </c>
      <c r="I59" t="s">
        <v>250</v>
      </c>
      <c r="J59" s="30" t="s">
        <v>251</v>
      </c>
    </row>
    <row r="60" spans="1:10" ht="12.75" customHeight="1" x14ac:dyDescent="0.2">
      <c r="A60" s="32" t="s">
        <v>390</v>
      </c>
      <c r="B60" s="32" t="s">
        <v>391</v>
      </c>
      <c r="C60" s="32" t="s">
        <v>247</v>
      </c>
      <c r="D60" s="32" t="s">
        <v>219</v>
      </c>
      <c r="E60" s="32" t="s">
        <v>260</v>
      </c>
      <c r="F60" s="32" t="s">
        <v>261</v>
      </c>
      <c r="G60" s="33">
        <v>817</v>
      </c>
      <c r="H60" s="34">
        <v>43282</v>
      </c>
      <c r="I60" t="s">
        <v>250</v>
      </c>
      <c r="J60" s="30" t="s">
        <v>251</v>
      </c>
    </row>
    <row r="61" spans="1:10" ht="12.75" customHeight="1" x14ac:dyDescent="0.2">
      <c r="A61" s="32" t="s">
        <v>392</v>
      </c>
      <c r="B61" s="32" t="s">
        <v>393</v>
      </c>
      <c r="C61" s="32" t="s">
        <v>372</v>
      </c>
      <c r="D61" s="32" t="s">
        <v>219</v>
      </c>
      <c r="E61" s="32" t="s">
        <v>394</v>
      </c>
      <c r="F61" s="32" t="s">
        <v>395</v>
      </c>
      <c r="G61" s="33">
        <v>1212</v>
      </c>
      <c r="H61" s="34">
        <v>43040</v>
      </c>
      <c r="I61" t="s">
        <v>250</v>
      </c>
      <c r="J61" s="30" t="s">
        <v>251</v>
      </c>
    </row>
    <row r="62" spans="1:10" ht="12.75" customHeight="1" x14ac:dyDescent="0.2">
      <c r="A62" s="32" t="s">
        <v>396</v>
      </c>
      <c r="B62" s="32" t="s">
        <v>397</v>
      </c>
      <c r="C62" s="32" t="s">
        <v>372</v>
      </c>
      <c r="D62" s="32" t="s">
        <v>226</v>
      </c>
      <c r="E62" s="32" t="s">
        <v>227</v>
      </c>
      <c r="F62" s="32" t="s">
        <v>227</v>
      </c>
      <c r="G62" s="33">
        <v>2022.14</v>
      </c>
      <c r="H62" s="34">
        <v>32330</v>
      </c>
      <c r="I62" t="s">
        <v>250</v>
      </c>
      <c r="J62" s="30" t="s">
        <v>251</v>
      </c>
    </row>
    <row r="63" spans="1:10" ht="12.75" customHeight="1" x14ac:dyDescent="0.2">
      <c r="A63" s="32" t="s">
        <v>398</v>
      </c>
      <c r="B63" s="32" t="s">
        <v>399</v>
      </c>
      <c r="C63" s="32" t="s">
        <v>268</v>
      </c>
      <c r="D63" s="32" t="s">
        <v>226</v>
      </c>
      <c r="E63" s="32" t="s">
        <v>244</v>
      </c>
      <c r="F63" s="32" t="s">
        <v>244</v>
      </c>
      <c r="G63" s="33">
        <v>2229.2199999999998</v>
      </c>
      <c r="H63" s="34">
        <v>33568</v>
      </c>
      <c r="I63" t="s">
        <v>250</v>
      </c>
      <c r="J63" s="30" t="s">
        <v>251</v>
      </c>
    </row>
    <row r="64" spans="1:10" ht="12.75" customHeight="1" x14ac:dyDescent="0.2">
      <c r="A64" s="32" t="s">
        <v>400</v>
      </c>
      <c r="B64" s="32" t="s">
        <v>401</v>
      </c>
      <c r="C64" s="32" t="s">
        <v>268</v>
      </c>
      <c r="D64" s="32" t="s">
        <v>219</v>
      </c>
      <c r="E64" s="32" t="s">
        <v>301</v>
      </c>
      <c r="F64" s="32" t="s">
        <v>302</v>
      </c>
      <c r="G64" s="33">
        <v>527</v>
      </c>
      <c r="H64" s="34">
        <v>42917</v>
      </c>
      <c r="I64" t="s">
        <v>250</v>
      </c>
      <c r="J64" s="30" t="s">
        <v>251</v>
      </c>
    </row>
    <row r="65" spans="1:10" ht="12.75" customHeight="1" x14ac:dyDescent="0.2">
      <c r="A65" s="32" t="s">
        <v>402</v>
      </c>
      <c r="B65" s="32" t="s">
        <v>403</v>
      </c>
      <c r="C65" s="32" t="s">
        <v>268</v>
      </c>
      <c r="D65" s="32" t="s">
        <v>219</v>
      </c>
      <c r="E65" s="32" t="s">
        <v>279</v>
      </c>
      <c r="F65" s="32" t="s">
        <v>280</v>
      </c>
      <c r="G65" s="33">
        <v>1676</v>
      </c>
      <c r="H65" s="34">
        <v>42736</v>
      </c>
      <c r="I65" t="s">
        <v>250</v>
      </c>
      <c r="J65" s="30" t="s">
        <v>251</v>
      </c>
    </row>
    <row r="66" spans="1:10" ht="12.75" customHeight="1" x14ac:dyDescent="0.2">
      <c r="A66" s="32" t="s">
        <v>404</v>
      </c>
      <c r="B66" s="32" t="s">
        <v>405</v>
      </c>
      <c r="C66" s="32" t="s">
        <v>372</v>
      </c>
      <c r="D66" s="32" t="s">
        <v>226</v>
      </c>
      <c r="E66" s="32" t="s">
        <v>237</v>
      </c>
      <c r="F66" s="32" t="s">
        <v>237</v>
      </c>
      <c r="G66" s="33">
        <v>2138.5300000000002</v>
      </c>
      <c r="H66" s="34">
        <v>30904</v>
      </c>
      <c r="I66" t="s">
        <v>250</v>
      </c>
      <c r="J66" s="30" t="s">
        <v>251</v>
      </c>
    </row>
    <row r="67" spans="1:10" ht="12.75" customHeight="1" x14ac:dyDescent="0.2">
      <c r="A67" s="32" t="s">
        <v>406</v>
      </c>
      <c r="B67" s="32" t="s">
        <v>407</v>
      </c>
      <c r="C67" s="32" t="s">
        <v>372</v>
      </c>
      <c r="D67" s="32" t="s">
        <v>226</v>
      </c>
      <c r="E67" s="32" t="s">
        <v>323</v>
      </c>
      <c r="F67" s="32" t="s">
        <v>323</v>
      </c>
      <c r="G67" s="33">
        <v>1794.95</v>
      </c>
      <c r="H67" s="34">
        <v>33605</v>
      </c>
      <c r="I67" t="s">
        <v>250</v>
      </c>
      <c r="J67" s="30" t="s">
        <v>251</v>
      </c>
    </row>
    <row r="68" spans="1:10" ht="12.75" customHeight="1" x14ac:dyDescent="0.2">
      <c r="A68" s="32" t="s">
        <v>408</v>
      </c>
      <c r="B68" s="32" t="s">
        <v>409</v>
      </c>
      <c r="C68" s="32" t="s">
        <v>268</v>
      </c>
      <c r="D68" s="32" t="s">
        <v>219</v>
      </c>
      <c r="E68" s="32" t="s">
        <v>264</v>
      </c>
      <c r="F68" s="32" t="s">
        <v>288</v>
      </c>
      <c r="G68" s="33">
        <v>733</v>
      </c>
      <c r="H68" s="34">
        <v>42948</v>
      </c>
      <c r="I68" t="s">
        <v>250</v>
      </c>
      <c r="J68" s="30" t="s">
        <v>251</v>
      </c>
    </row>
    <row r="69" spans="1:10" ht="12.75" customHeight="1" x14ac:dyDescent="0.2">
      <c r="A69" s="32" t="s">
        <v>410</v>
      </c>
      <c r="B69" s="32" t="s">
        <v>411</v>
      </c>
      <c r="C69" s="32" t="s">
        <v>372</v>
      </c>
      <c r="D69" s="32" t="s">
        <v>226</v>
      </c>
      <c r="E69" s="32" t="s">
        <v>237</v>
      </c>
      <c r="F69" s="32" t="s">
        <v>237</v>
      </c>
      <c r="G69" s="33">
        <v>2374.29</v>
      </c>
      <c r="H69" s="34">
        <v>32630</v>
      </c>
      <c r="I69" t="s">
        <v>250</v>
      </c>
      <c r="J69" s="30" t="s">
        <v>251</v>
      </c>
    </row>
    <row r="70" spans="1:10" ht="12.75" customHeight="1" x14ac:dyDescent="0.2">
      <c r="A70" s="32" t="s">
        <v>412</v>
      </c>
      <c r="B70" s="32" t="s">
        <v>413</v>
      </c>
      <c r="C70" s="32" t="s">
        <v>247</v>
      </c>
      <c r="D70" s="32" t="s">
        <v>219</v>
      </c>
      <c r="E70" s="32" t="s">
        <v>248</v>
      </c>
      <c r="F70" s="32" t="s">
        <v>249</v>
      </c>
      <c r="G70" s="33">
        <v>553</v>
      </c>
      <c r="H70" s="34">
        <v>41508</v>
      </c>
      <c r="I70" t="s">
        <v>250</v>
      </c>
      <c r="J70" s="30" t="s">
        <v>251</v>
      </c>
    </row>
    <row r="71" spans="1:10" ht="12.75" customHeight="1" x14ac:dyDescent="0.2">
      <c r="A71" s="32" t="s">
        <v>414</v>
      </c>
      <c r="B71" s="32" t="s">
        <v>415</v>
      </c>
      <c r="C71" s="32" t="s">
        <v>268</v>
      </c>
      <c r="D71" s="32" t="s">
        <v>219</v>
      </c>
      <c r="E71" s="32" t="s">
        <v>301</v>
      </c>
      <c r="F71" s="32" t="s">
        <v>416</v>
      </c>
      <c r="G71" s="33">
        <v>527</v>
      </c>
      <c r="H71" s="34">
        <v>42095</v>
      </c>
      <c r="I71" t="s">
        <v>250</v>
      </c>
      <c r="J71" s="30" t="s">
        <v>251</v>
      </c>
    </row>
    <row r="72" spans="1:10" ht="12.75" customHeight="1" x14ac:dyDescent="0.2">
      <c r="A72" s="32" t="s">
        <v>417</v>
      </c>
      <c r="B72" s="32" t="s">
        <v>418</v>
      </c>
      <c r="C72" s="32" t="s">
        <v>329</v>
      </c>
      <c r="D72" s="32" t="s">
        <v>219</v>
      </c>
      <c r="E72" s="32" t="s">
        <v>264</v>
      </c>
      <c r="F72" s="32" t="s">
        <v>265</v>
      </c>
      <c r="G72" s="33">
        <v>733</v>
      </c>
      <c r="H72" s="34">
        <v>43221</v>
      </c>
      <c r="I72" t="s">
        <v>250</v>
      </c>
      <c r="J72" s="30" t="s">
        <v>251</v>
      </c>
    </row>
    <row r="73" spans="1:10" ht="12.75" customHeight="1" x14ac:dyDescent="0.2">
      <c r="A73" s="32" t="s">
        <v>419</v>
      </c>
      <c r="B73" s="32" t="s">
        <v>420</v>
      </c>
      <c r="C73" s="32" t="s">
        <v>268</v>
      </c>
      <c r="D73" s="32" t="s">
        <v>226</v>
      </c>
      <c r="E73" s="32" t="s">
        <v>320</v>
      </c>
      <c r="F73" s="32" t="s">
        <v>320</v>
      </c>
      <c r="G73" s="33">
        <v>1544.19</v>
      </c>
      <c r="H73" s="34">
        <v>33925</v>
      </c>
      <c r="I73" t="s">
        <v>250</v>
      </c>
      <c r="J73" s="30" t="s">
        <v>251</v>
      </c>
    </row>
    <row r="74" spans="1:10" ht="12.75" customHeight="1" x14ac:dyDescent="0.2">
      <c r="A74" s="32" t="s">
        <v>421</v>
      </c>
      <c r="B74" s="32" t="s">
        <v>422</v>
      </c>
      <c r="C74" s="32" t="s">
        <v>268</v>
      </c>
      <c r="D74" s="32" t="s">
        <v>219</v>
      </c>
      <c r="E74" s="32" t="s">
        <v>264</v>
      </c>
      <c r="F74" s="32" t="s">
        <v>288</v>
      </c>
      <c r="G74" s="33">
        <v>733</v>
      </c>
      <c r="H74" s="34">
        <v>42012</v>
      </c>
      <c r="I74" t="s">
        <v>250</v>
      </c>
      <c r="J74" s="30" t="s">
        <v>251</v>
      </c>
    </row>
    <row r="75" spans="1:10" ht="12.75" customHeight="1" x14ac:dyDescent="0.2">
      <c r="A75" s="32" t="s">
        <v>423</v>
      </c>
      <c r="B75" s="32" t="s">
        <v>424</v>
      </c>
      <c r="C75" s="32" t="s">
        <v>372</v>
      </c>
      <c r="D75" s="32" t="s">
        <v>219</v>
      </c>
      <c r="E75" s="32" t="s">
        <v>264</v>
      </c>
      <c r="F75" s="32" t="s">
        <v>373</v>
      </c>
      <c r="G75" s="33">
        <v>733</v>
      </c>
      <c r="H75" s="34">
        <v>42887</v>
      </c>
      <c r="I75" t="s">
        <v>250</v>
      </c>
      <c r="J75" s="30" t="s">
        <v>251</v>
      </c>
    </row>
    <row r="76" spans="1:10" ht="12.75" customHeight="1" x14ac:dyDescent="0.2">
      <c r="A76" s="32" t="s">
        <v>425</v>
      </c>
      <c r="B76" s="32" t="s">
        <v>426</v>
      </c>
      <c r="C76" s="32" t="s">
        <v>247</v>
      </c>
      <c r="D76" s="32" t="s">
        <v>219</v>
      </c>
      <c r="E76" s="32" t="s">
        <v>260</v>
      </c>
      <c r="F76" s="32" t="s">
        <v>261</v>
      </c>
      <c r="G76" s="33">
        <v>817</v>
      </c>
      <c r="H76" s="34">
        <v>43191</v>
      </c>
      <c r="I76" t="s">
        <v>250</v>
      </c>
      <c r="J76" s="30" t="s">
        <v>251</v>
      </c>
    </row>
    <row r="77" spans="1:10" ht="12.75" customHeight="1" x14ac:dyDescent="0.2">
      <c r="A77" s="32" t="s">
        <v>427</v>
      </c>
      <c r="B77" s="32" t="s">
        <v>428</v>
      </c>
      <c r="C77" s="32" t="s">
        <v>247</v>
      </c>
      <c r="D77" s="32" t="s">
        <v>219</v>
      </c>
      <c r="E77" s="32" t="s">
        <v>248</v>
      </c>
      <c r="F77" s="32" t="s">
        <v>249</v>
      </c>
      <c r="G77" s="33">
        <v>553</v>
      </c>
      <c r="H77" s="34">
        <v>41856</v>
      </c>
      <c r="I77" t="s">
        <v>250</v>
      </c>
      <c r="J77" s="30" t="s">
        <v>251</v>
      </c>
    </row>
    <row r="78" spans="1:10" ht="12.75" customHeight="1" x14ac:dyDescent="0.2">
      <c r="A78" s="32" t="s">
        <v>429</v>
      </c>
      <c r="B78" s="32" t="s">
        <v>430</v>
      </c>
      <c r="C78" s="32" t="s">
        <v>247</v>
      </c>
      <c r="D78" s="32" t="s">
        <v>226</v>
      </c>
      <c r="E78" s="32" t="s">
        <v>431</v>
      </c>
      <c r="F78" s="32" t="s">
        <v>431</v>
      </c>
      <c r="G78" s="33">
        <v>2380.5300000000002</v>
      </c>
      <c r="H78" s="34">
        <v>31162</v>
      </c>
      <c r="I78" t="s">
        <v>250</v>
      </c>
      <c r="J78" s="30" t="s">
        <v>251</v>
      </c>
    </row>
    <row r="79" spans="1:10" ht="12.75" customHeight="1" x14ac:dyDescent="0.2">
      <c r="A79" s="32" t="s">
        <v>432</v>
      </c>
      <c r="B79" s="32" t="s">
        <v>433</v>
      </c>
      <c r="C79" s="32" t="s">
        <v>268</v>
      </c>
      <c r="D79" s="32" t="s">
        <v>226</v>
      </c>
      <c r="E79" s="32" t="s">
        <v>434</v>
      </c>
      <c r="F79" s="32" t="s">
        <v>434</v>
      </c>
      <c r="G79" s="33">
        <v>1981.37</v>
      </c>
      <c r="H79" s="34">
        <v>29443</v>
      </c>
      <c r="I79" t="s">
        <v>250</v>
      </c>
      <c r="J79" s="30" t="s">
        <v>251</v>
      </c>
    </row>
    <row r="80" spans="1:10" ht="12.75" customHeight="1" x14ac:dyDescent="0.2">
      <c r="A80" s="32" t="s">
        <v>435</v>
      </c>
      <c r="B80" s="32" t="s">
        <v>436</v>
      </c>
      <c r="C80" s="32" t="s">
        <v>268</v>
      </c>
      <c r="D80" s="32" t="s">
        <v>219</v>
      </c>
      <c r="E80" s="32" t="s">
        <v>220</v>
      </c>
      <c r="F80" s="32" t="s">
        <v>353</v>
      </c>
      <c r="G80" s="33">
        <v>2034</v>
      </c>
      <c r="H80" s="34">
        <v>42948</v>
      </c>
      <c r="I80" t="s">
        <v>250</v>
      </c>
      <c r="J80" s="30" t="s">
        <v>251</v>
      </c>
    </row>
    <row r="81" spans="1:10" ht="12.75" customHeight="1" x14ac:dyDescent="0.2">
      <c r="A81" s="32" t="s">
        <v>437</v>
      </c>
      <c r="B81" s="32" t="s">
        <v>438</v>
      </c>
      <c r="C81" s="32" t="s">
        <v>247</v>
      </c>
      <c r="D81" s="32" t="s">
        <v>226</v>
      </c>
      <c r="E81" s="32" t="s">
        <v>244</v>
      </c>
      <c r="F81" s="32" t="s">
        <v>244</v>
      </c>
      <c r="G81" s="33">
        <v>2539.4899999999998</v>
      </c>
      <c r="H81" s="34">
        <v>31939</v>
      </c>
      <c r="I81" t="s">
        <v>250</v>
      </c>
      <c r="J81" s="30" t="s">
        <v>251</v>
      </c>
    </row>
    <row r="82" spans="1:10" ht="12.75" customHeight="1" x14ac:dyDescent="0.2">
      <c r="A82" s="32" t="s">
        <v>439</v>
      </c>
      <c r="B82" s="32" t="s">
        <v>440</v>
      </c>
      <c r="C82" s="32" t="s">
        <v>268</v>
      </c>
      <c r="D82" s="32" t="s">
        <v>226</v>
      </c>
      <c r="E82" s="32" t="s">
        <v>227</v>
      </c>
      <c r="F82" s="32" t="s">
        <v>227</v>
      </c>
      <c r="G82" s="33">
        <v>1816.51</v>
      </c>
      <c r="H82" s="34">
        <v>33030</v>
      </c>
      <c r="I82" t="s">
        <v>250</v>
      </c>
      <c r="J82" s="30" t="s">
        <v>251</v>
      </c>
    </row>
    <row r="83" spans="1:10" ht="12.75" customHeight="1" x14ac:dyDescent="0.2">
      <c r="A83" s="32" t="s">
        <v>441</v>
      </c>
      <c r="B83" s="32" t="s">
        <v>442</v>
      </c>
      <c r="C83" s="32" t="s">
        <v>247</v>
      </c>
      <c r="D83" s="32" t="s">
        <v>219</v>
      </c>
      <c r="E83" s="32" t="s">
        <v>220</v>
      </c>
      <c r="F83" s="32" t="s">
        <v>443</v>
      </c>
      <c r="G83" s="33">
        <v>2034</v>
      </c>
      <c r="H83" s="34">
        <v>42917</v>
      </c>
      <c r="I83" t="s">
        <v>250</v>
      </c>
      <c r="J83" s="30" t="s">
        <v>251</v>
      </c>
    </row>
    <row r="84" spans="1:10" ht="12.75" customHeight="1" x14ac:dyDescent="0.2">
      <c r="A84" s="32" t="s">
        <v>444</v>
      </c>
      <c r="B84" s="32" t="s">
        <v>445</v>
      </c>
      <c r="C84" s="32" t="s">
        <v>372</v>
      </c>
      <c r="D84" s="32" t="s">
        <v>219</v>
      </c>
      <c r="E84" s="32" t="s">
        <v>394</v>
      </c>
      <c r="F84" s="32" t="s">
        <v>395</v>
      </c>
      <c r="G84" s="33">
        <v>1212</v>
      </c>
      <c r="H84" s="34">
        <v>43221</v>
      </c>
      <c r="I84" t="s">
        <v>250</v>
      </c>
      <c r="J84" s="30" t="s">
        <v>251</v>
      </c>
    </row>
    <row r="85" spans="1:10" ht="12.75" customHeight="1" x14ac:dyDescent="0.2">
      <c r="A85" s="32" t="s">
        <v>446</v>
      </c>
      <c r="B85" s="32" t="s">
        <v>447</v>
      </c>
      <c r="C85" s="32" t="s">
        <v>268</v>
      </c>
      <c r="D85" s="32" t="s">
        <v>219</v>
      </c>
      <c r="E85" s="32" t="s">
        <v>264</v>
      </c>
      <c r="F85" s="32" t="s">
        <v>448</v>
      </c>
      <c r="G85" s="33">
        <v>733</v>
      </c>
      <c r="H85" s="34">
        <v>34700</v>
      </c>
      <c r="I85" t="s">
        <v>250</v>
      </c>
      <c r="J85" s="30" t="s">
        <v>251</v>
      </c>
    </row>
    <row r="86" spans="1:10" ht="12.75" customHeight="1" x14ac:dyDescent="0.2">
      <c r="A86" s="32" t="s">
        <v>449</v>
      </c>
      <c r="B86" s="32" t="s">
        <v>450</v>
      </c>
      <c r="C86" s="32" t="s">
        <v>247</v>
      </c>
      <c r="D86" s="32" t="s">
        <v>219</v>
      </c>
      <c r="E86" s="32" t="s">
        <v>279</v>
      </c>
      <c r="F86" s="32" t="s">
        <v>385</v>
      </c>
      <c r="G86" s="33">
        <v>1676</v>
      </c>
      <c r="H86" s="34">
        <v>40050</v>
      </c>
      <c r="I86" t="s">
        <v>250</v>
      </c>
      <c r="J86" s="30" t="s">
        <v>251</v>
      </c>
    </row>
    <row r="87" spans="1:10" ht="12.75" customHeight="1" x14ac:dyDescent="0.2">
      <c r="A87" s="32" t="s">
        <v>451</v>
      </c>
      <c r="B87" s="32" t="s">
        <v>452</v>
      </c>
      <c r="C87" s="32" t="s">
        <v>247</v>
      </c>
      <c r="D87" s="32" t="s">
        <v>219</v>
      </c>
      <c r="E87" s="32" t="s">
        <v>248</v>
      </c>
      <c r="F87" s="32" t="s">
        <v>249</v>
      </c>
      <c r="G87" s="33">
        <v>553</v>
      </c>
      <c r="H87" s="34">
        <v>43070</v>
      </c>
      <c r="I87" t="s">
        <v>250</v>
      </c>
      <c r="J87" s="30" t="s">
        <v>251</v>
      </c>
    </row>
    <row r="88" spans="1:10" ht="12.75" customHeight="1" x14ac:dyDescent="0.2">
      <c r="A88" s="32" t="s">
        <v>453</v>
      </c>
      <c r="B88" s="32" t="s">
        <v>454</v>
      </c>
      <c r="C88" s="32" t="s">
        <v>247</v>
      </c>
      <c r="D88" s="32" t="s">
        <v>226</v>
      </c>
      <c r="E88" s="32" t="s">
        <v>455</v>
      </c>
      <c r="F88" s="32" t="s">
        <v>455</v>
      </c>
      <c r="G88" s="33">
        <v>1844.01</v>
      </c>
      <c r="H88" s="34">
        <v>33115</v>
      </c>
      <c r="I88" t="s">
        <v>250</v>
      </c>
      <c r="J88" s="30" t="s">
        <v>251</v>
      </c>
    </row>
    <row r="89" spans="1:10" ht="12.75" customHeight="1" x14ac:dyDescent="0.2">
      <c r="A89" s="32" t="s">
        <v>456</v>
      </c>
      <c r="B89" s="32" t="s">
        <v>457</v>
      </c>
      <c r="C89" s="32" t="s">
        <v>247</v>
      </c>
      <c r="D89" s="32" t="s">
        <v>219</v>
      </c>
      <c r="E89" s="32" t="s">
        <v>248</v>
      </c>
      <c r="F89" s="32" t="s">
        <v>249</v>
      </c>
      <c r="G89" s="33">
        <v>553</v>
      </c>
      <c r="H89" s="34">
        <v>42767</v>
      </c>
      <c r="I89" t="s">
        <v>250</v>
      </c>
      <c r="J89" s="30" t="s">
        <v>251</v>
      </c>
    </row>
    <row r="90" spans="1:10" ht="12.75" customHeight="1" x14ac:dyDescent="0.2">
      <c r="A90" s="32" t="s">
        <v>458</v>
      </c>
      <c r="B90" s="32" t="s">
        <v>459</v>
      </c>
      <c r="C90" s="32" t="s">
        <v>247</v>
      </c>
      <c r="D90" s="32" t="s">
        <v>219</v>
      </c>
      <c r="E90" s="32" t="s">
        <v>260</v>
      </c>
      <c r="F90" s="32" t="s">
        <v>261</v>
      </c>
      <c r="G90" s="33">
        <v>817</v>
      </c>
      <c r="H90" s="34">
        <v>42878</v>
      </c>
      <c r="I90" t="s">
        <v>250</v>
      </c>
      <c r="J90" s="30" t="s">
        <v>251</v>
      </c>
    </row>
    <row r="91" spans="1:10" ht="12.75" customHeight="1" x14ac:dyDescent="0.2">
      <c r="A91" s="32" t="s">
        <v>460</v>
      </c>
      <c r="B91" s="32" t="s">
        <v>461</v>
      </c>
      <c r="C91" s="32" t="s">
        <v>247</v>
      </c>
      <c r="D91" s="32" t="s">
        <v>219</v>
      </c>
      <c r="E91" s="32" t="s">
        <v>248</v>
      </c>
      <c r="F91" s="32" t="s">
        <v>249</v>
      </c>
      <c r="G91" s="33">
        <v>553</v>
      </c>
      <c r="H91" s="34">
        <v>43282</v>
      </c>
      <c r="I91" t="s">
        <v>250</v>
      </c>
      <c r="J91" s="30" t="s">
        <v>251</v>
      </c>
    </row>
    <row r="92" spans="1:10" ht="12.75" customHeight="1" x14ac:dyDescent="0.2">
      <c r="A92" s="32" t="s">
        <v>462</v>
      </c>
      <c r="B92" s="32" t="s">
        <v>463</v>
      </c>
      <c r="C92" s="32" t="s">
        <v>268</v>
      </c>
      <c r="D92" s="32" t="s">
        <v>219</v>
      </c>
      <c r="E92" s="32" t="s">
        <v>301</v>
      </c>
      <c r="F92" s="32" t="s">
        <v>464</v>
      </c>
      <c r="G92" s="33">
        <v>527</v>
      </c>
      <c r="H92" s="34">
        <v>40073</v>
      </c>
      <c r="I92" t="s">
        <v>250</v>
      </c>
      <c r="J92" s="30" t="s">
        <v>251</v>
      </c>
    </row>
    <row r="93" spans="1:10" ht="12.75" customHeight="1" x14ac:dyDescent="0.2">
      <c r="A93" s="32" t="s">
        <v>465</v>
      </c>
      <c r="B93" s="32" t="s">
        <v>466</v>
      </c>
      <c r="C93" s="32" t="s">
        <v>467</v>
      </c>
      <c r="D93" s="32" t="s">
        <v>219</v>
      </c>
      <c r="E93" s="32" t="s">
        <v>336</v>
      </c>
      <c r="F93" s="32" t="s">
        <v>468</v>
      </c>
      <c r="G93" s="33">
        <v>2308</v>
      </c>
      <c r="H93" s="34">
        <v>42917</v>
      </c>
      <c r="I93" t="s">
        <v>469</v>
      </c>
      <c r="J93" s="30" t="s">
        <v>470</v>
      </c>
    </row>
    <row r="94" spans="1:10" ht="12.75" customHeight="1" x14ac:dyDescent="0.2">
      <c r="A94" s="32" t="s">
        <v>471</v>
      </c>
      <c r="B94" s="32" t="s">
        <v>472</v>
      </c>
      <c r="C94" s="32" t="s">
        <v>467</v>
      </c>
      <c r="D94" s="32" t="s">
        <v>219</v>
      </c>
      <c r="E94" s="32" t="s">
        <v>220</v>
      </c>
      <c r="F94" s="32" t="s">
        <v>473</v>
      </c>
      <c r="G94" s="33">
        <v>2034</v>
      </c>
      <c r="H94" s="34">
        <v>43070</v>
      </c>
      <c r="I94" t="s">
        <v>469</v>
      </c>
      <c r="J94" s="30" t="s">
        <v>470</v>
      </c>
    </row>
    <row r="95" spans="1:10" ht="12.75" customHeight="1" x14ac:dyDescent="0.2">
      <c r="A95" s="32" t="s">
        <v>474</v>
      </c>
      <c r="B95" s="32" t="s">
        <v>475</v>
      </c>
      <c r="C95" s="32" t="s">
        <v>467</v>
      </c>
      <c r="D95" s="32" t="s">
        <v>226</v>
      </c>
      <c r="E95" s="32" t="s">
        <v>476</v>
      </c>
      <c r="F95" s="32" t="s">
        <v>476</v>
      </c>
      <c r="G95" s="33">
        <v>2767.76</v>
      </c>
      <c r="H95" s="34">
        <v>33253</v>
      </c>
      <c r="I95" t="s">
        <v>469</v>
      </c>
      <c r="J95" s="30" t="s">
        <v>470</v>
      </c>
    </row>
    <row r="96" spans="1:10" ht="12.75" customHeight="1" x14ac:dyDescent="0.2">
      <c r="A96" s="32" t="s">
        <v>477</v>
      </c>
      <c r="B96" s="32" t="s">
        <v>478</v>
      </c>
      <c r="C96" s="32" t="s">
        <v>467</v>
      </c>
      <c r="D96" s="32" t="s">
        <v>226</v>
      </c>
      <c r="E96" s="32" t="s">
        <v>479</v>
      </c>
      <c r="F96" s="32" t="s">
        <v>479</v>
      </c>
      <c r="G96" s="33">
        <v>2839.76</v>
      </c>
      <c r="H96" s="34">
        <v>32948</v>
      </c>
      <c r="I96" t="s">
        <v>469</v>
      </c>
      <c r="J96" s="30" t="s">
        <v>470</v>
      </c>
    </row>
    <row r="97" spans="1:10" ht="12.75" customHeight="1" x14ac:dyDescent="0.2">
      <c r="A97" s="32" t="s">
        <v>480</v>
      </c>
      <c r="B97" s="32" t="s">
        <v>481</v>
      </c>
      <c r="C97" s="32" t="s">
        <v>482</v>
      </c>
      <c r="D97" s="32" t="s">
        <v>219</v>
      </c>
      <c r="E97" s="32" t="s">
        <v>233</v>
      </c>
      <c r="F97" s="32" t="s">
        <v>483</v>
      </c>
      <c r="G97" s="33">
        <v>1760</v>
      </c>
      <c r="H97" s="34">
        <v>41715</v>
      </c>
      <c r="I97" t="s">
        <v>469</v>
      </c>
      <c r="J97" s="30" t="s">
        <v>470</v>
      </c>
    </row>
    <row r="98" spans="1:10" ht="12.75" customHeight="1" x14ac:dyDescent="0.2">
      <c r="A98" s="32" t="s">
        <v>484</v>
      </c>
      <c r="B98" s="32" t="s">
        <v>485</v>
      </c>
      <c r="C98" s="32" t="s">
        <v>482</v>
      </c>
      <c r="D98" s="32" t="s">
        <v>226</v>
      </c>
      <c r="E98" s="32" t="s">
        <v>350</v>
      </c>
      <c r="F98" s="32" t="s">
        <v>350</v>
      </c>
      <c r="G98" s="33">
        <v>2876.7</v>
      </c>
      <c r="H98" s="34">
        <v>32604</v>
      </c>
      <c r="I98" t="s">
        <v>469</v>
      </c>
      <c r="J98" s="30" t="s">
        <v>470</v>
      </c>
    </row>
    <row r="99" spans="1:10" ht="12.75" customHeight="1" x14ac:dyDescent="0.2">
      <c r="A99" s="32" t="s">
        <v>486</v>
      </c>
      <c r="B99" s="32" t="s">
        <v>487</v>
      </c>
      <c r="C99" s="32" t="s">
        <v>488</v>
      </c>
      <c r="D99" s="32" t="s">
        <v>226</v>
      </c>
      <c r="E99" s="32" t="s">
        <v>489</v>
      </c>
      <c r="F99" s="32" t="s">
        <v>489</v>
      </c>
      <c r="G99" s="33">
        <v>1086</v>
      </c>
      <c r="H99" s="34">
        <v>43040</v>
      </c>
      <c r="I99" t="s">
        <v>469</v>
      </c>
      <c r="J99" s="30" t="s">
        <v>470</v>
      </c>
    </row>
    <row r="100" spans="1:10" ht="12.75" customHeight="1" x14ac:dyDescent="0.2">
      <c r="A100" s="32" t="s">
        <v>490</v>
      </c>
      <c r="B100" s="32" t="s">
        <v>491</v>
      </c>
      <c r="C100" s="32" t="s">
        <v>482</v>
      </c>
      <c r="D100" s="32" t="s">
        <v>219</v>
      </c>
      <c r="E100" s="32" t="s">
        <v>233</v>
      </c>
      <c r="F100" s="32" t="s">
        <v>483</v>
      </c>
      <c r="G100" s="33">
        <v>1760</v>
      </c>
      <c r="H100" s="34">
        <v>42917</v>
      </c>
      <c r="I100" t="s">
        <v>469</v>
      </c>
      <c r="J100" s="30" t="s">
        <v>470</v>
      </c>
    </row>
    <row r="101" spans="1:10" ht="12.75" customHeight="1" x14ac:dyDescent="0.2">
      <c r="A101" s="32" t="s">
        <v>492</v>
      </c>
      <c r="B101" s="32" t="s">
        <v>493</v>
      </c>
      <c r="C101" s="32" t="s">
        <v>488</v>
      </c>
      <c r="D101" s="32" t="s">
        <v>219</v>
      </c>
      <c r="E101" s="32" t="s">
        <v>264</v>
      </c>
      <c r="F101" s="32" t="s">
        <v>265</v>
      </c>
      <c r="G101" s="33">
        <v>733</v>
      </c>
      <c r="H101" s="34">
        <v>42979</v>
      </c>
      <c r="I101" t="s">
        <v>469</v>
      </c>
      <c r="J101" s="30" t="s">
        <v>470</v>
      </c>
    </row>
    <row r="102" spans="1:10" ht="12.75" customHeight="1" x14ac:dyDescent="0.2">
      <c r="A102" s="32" t="s">
        <v>494</v>
      </c>
      <c r="B102" s="32" t="s">
        <v>495</v>
      </c>
      <c r="C102" s="32" t="s">
        <v>488</v>
      </c>
      <c r="D102" s="32" t="s">
        <v>226</v>
      </c>
      <c r="E102" s="32" t="s">
        <v>340</v>
      </c>
      <c r="F102" s="32" t="s">
        <v>340</v>
      </c>
      <c r="G102" s="33">
        <v>1395.36</v>
      </c>
      <c r="H102" s="34">
        <v>34841</v>
      </c>
      <c r="I102" t="s">
        <v>469</v>
      </c>
      <c r="J102" s="30" t="s">
        <v>470</v>
      </c>
    </row>
    <row r="103" spans="1:10" ht="12.75" customHeight="1" x14ac:dyDescent="0.2">
      <c r="A103" s="32" t="s">
        <v>496</v>
      </c>
      <c r="B103" s="32" t="s">
        <v>497</v>
      </c>
      <c r="C103" s="32" t="s">
        <v>467</v>
      </c>
      <c r="D103" s="32" t="s">
        <v>226</v>
      </c>
      <c r="E103" s="32" t="s">
        <v>295</v>
      </c>
      <c r="F103" s="32" t="s">
        <v>295</v>
      </c>
      <c r="G103" s="33">
        <v>2437.41</v>
      </c>
      <c r="H103" s="34">
        <v>37627</v>
      </c>
      <c r="I103" t="s">
        <v>469</v>
      </c>
      <c r="J103" s="30" t="s">
        <v>470</v>
      </c>
    </row>
    <row r="104" spans="1:10" ht="12.75" customHeight="1" x14ac:dyDescent="0.2">
      <c r="A104" s="32" t="s">
        <v>498</v>
      </c>
      <c r="B104" s="32" t="s">
        <v>499</v>
      </c>
      <c r="C104" s="32" t="s">
        <v>482</v>
      </c>
      <c r="D104" s="32" t="s">
        <v>226</v>
      </c>
      <c r="E104" s="32" t="s">
        <v>500</v>
      </c>
      <c r="F104" s="32" t="s">
        <v>500</v>
      </c>
      <c r="G104" s="33">
        <v>2119.25</v>
      </c>
      <c r="H104" s="34">
        <v>37462</v>
      </c>
      <c r="I104" t="s">
        <v>469</v>
      </c>
      <c r="J104" s="30" t="s">
        <v>470</v>
      </c>
    </row>
    <row r="105" spans="1:10" ht="12.75" customHeight="1" x14ac:dyDescent="0.2">
      <c r="A105" s="32" t="s">
        <v>501</v>
      </c>
      <c r="B105" s="32" t="s">
        <v>502</v>
      </c>
      <c r="C105" s="32" t="s">
        <v>467</v>
      </c>
      <c r="D105" s="32" t="s">
        <v>226</v>
      </c>
      <c r="E105" s="32" t="s">
        <v>350</v>
      </c>
      <c r="F105" s="32" t="s">
        <v>350</v>
      </c>
      <c r="G105" s="33">
        <v>2854.95</v>
      </c>
      <c r="H105" s="34">
        <v>33184</v>
      </c>
      <c r="I105" t="s">
        <v>469</v>
      </c>
      <c r="J105" s="30" t="s">
        <v>470</v>
      </c>
    </row>
    <row r="106" spans="1:10" ht="12.75" customHeight="1" x14ac:dyDescent="0.2">
      <c r="A106" s="32" t="s">
        <v>503</v>
      </c>
      <c r="B106" s="32" t="s">
        <v>504</v>
      </c>
      <c r="C106" s="32" t="s">
        <v>482</v>
      </c>
      <c r="D106" s="32" t="s">
        <v>219</v>
      </c>
      <c r="E106" s="32" t="s">
        <v>336</v>
      </c>
      <c r="F106" s="32" t="s">
        <v>505</v>
      </c>
      <c r="G106" s="33">
        <v>2308</v>
      </c>
      <c r="H106" s="34">
        <v>42917</v>
      </c>
      <c r="I106" t="s">
        <v>469</v>
      </c>
      <c r="J106" s="30" t="s">
        <v>470</v>
      </c>
    </row>
    <row r="107" spans="1:10" ht="12.75" customHeight="1" x14ac:dyDescent="0.2">
      <c r="A107" s="32" t="s">
        <v>506</v>
      </c>
      <c r="B107" s="32" t="s">
        <v>507</v>
      </c>
      <c r="C107" s="32" t="s">
        <v>508</v>
      </c>
      <c r="D107" s="32" t="s">
        <v>219</v>
      </c>
      <c r="E107" s="32" t="s">
        <v>279</v>
      </c>
      <c r="F107" s="32" t="s">
        <v>509</v>
      </c>
      <c r="G107" s="33">
        <v>1676</v>
      </c>
      <c r="H107" s="34">
        <v>42979</v>
      </c>
      <c r="I107" t="s">
        <v>510</v>
      </c>
      <c r="J107" s="30" t="s">
        <v>511</v>
      </c>
    </row>
    <row r="108" spans="1:10" ht="12.75" customHeight="1" x14ac:dyDescent="0.2">
      <c r="A108" s="32" t="s">
        <v>512</v>
      </c>
      <c r="B108" s="32" t="s">
        <v>513</v>
      </c>
      <c r="C108" s="32" t="s">
        <v>508</v>
      </c>
      <c r="D108" s="32" t="s">
        <v>226</v>
      </c>
      <c r="E108" s="32" t="s">
        <v>514</v>
      </c>
      <c r="F108" s="32" t="s">
        <v>514</v>
      </c>
      <c r="G108" s="33">
        <v>1954.05</v>
      </c>
      <c r="H108" s="34">
        <v>33826</v>
      </c>
      <c r="I108" t="s">
        <v>510</v>
      </c>
      <c r="J108" s="30" t="s">
        <v>511</v>
      </c>
    </row>
    <row r="109" spans="1:10" ht="12.75" customHeight="1" x14ac:dyDescent="0.2">
      <c r="A109" s="32" t="s">
        <v>515</v>
      </c>
      <c r="B109" s="32" t="s">
        <v>516</v>
      </c>
      <c r="C109" s="32" t="s">
        <v>508</v>
      </c>
      <c r="D109" s="32" t="s">
        <v>219</v>
      </c>
      <c r="E109" s="32" t="s">
        <v>394</v>
      </c>
      <c r="F109" s="32" t="s">
        <v>517</v>
      </c>
      <c r="G109" s="33">
        <v>1212</v>
      </c>
      <c r="H109" s="34">
        <v>41572</v>
      </c>
      <c r="I109" t="s">
        <v>510</v>
      </c>
      <c r="J109" s="30" t="s">
        <v>511</v>
      </c>
    </row>
    <row r="110" spans="1:10" ht="12.75" customHeight="1" x14ac:dyDescent="0.2">
      <c r="A110" s="32" t="s">
        <v>518</v>
      </c>
      <c r="B110" s="32" t="s">
        <v>519</v>
      </c>
      <c r="C110" s="32" t="s">
        <v>508</v>
      </c>
      <c r="D110" s="32" t="s">
        <v>226</v>
      </c>
      <c r="E110" s="32" t="s">
        <v>520</v>
      </c>
      <c r="F110" s="32" t="s">
        <v>520</v>
      </c>
      <c r="G110" s="33">
        <v>1746.37</v>
      </c>
      <c r="H110" s="34">
        <v>29443</v>
      </c>
      <c r="I110" t="s">
        <v>510</v>
      </c>
      <c r="J110" s="30" t="s">
        <v>511</v>
      </c>
    </row>
    <row r="111" spans="1:10" ht="12.75" customHeight="1" x14ac:dyDescent="0.2">
      <c r="A111" s="32" t="s">
        <v>521</v>
      </c>
      <c r="B111" s="32" t="s">
        <v>522</v>
      </c>
      <c r="C111" s="32" t="s">
        <v>508</v>
      </c>
      <c r="D111" s="32" t="s">
        <v>219</v>
      </c>
      <c r="E111" s="32" t="s">
        <v>279</v>
      </c>
      <c r="F111" s="32" t="s">
        <v>523</v>
      </c>
      <c r="G111" s="33">
        <v>1676</v>
      </c>
      <c r="H111" s="34">
        <v>42461</v>
      </c>
      <c r="I111" t="s">
        <v>510</v>
      </c>
      <c r="J111" s="30" t="s">
        <v>511</v>
      </c>
    </row>
    <row r="112" spans="1:10" ht="12.75" customHeight="1" x14ac:dyDescent="0.2">
      <c r="A112" s="32" t="s">
        <v>524</v>
      </c>
      <c r="B112" s="32" t="s">
        <v>525</v>
      </c>
      <c r="C112" s="32" t="s">
        <v>508</v>
      </c>
      <c r="D112" s="32" t="s">
        <v>219</v>
      </c>
      <c r="E112" s="32" t="s">
        <v>279</v>
      </c>
      <c r="F112" s="32" t="s">
        <v>526</v>
      </c>
      <c r="G112" s="33">
        <v>1676</v>
      </c>
      <c r="H112" s="34">
        <v>39895</v>
      </c>
      <c r="I112" t="s">
        <v>510</v>
      </c>
      <c r="J112" s="30" t="s">
        <v>511</v>
      </c>
    </row>
    <row r="113" spans="1:10" ht="12.75" customHeight="1" x14ac:dyDescent="0.2">
      <c r="A113" s="32" t="s">
        <v>527</v>
      </c>
      <c r="B113" s="32" t="s">
        <v>528</v>
      </c>
      <c r="C113" s="32" t="s">
        <v>529</v>
      </c>
      <c r="D113" s="32" t="s">
        <v>219</v>
      </c>
      <c r="E113" s="32" t="s">
        <v>279</v>
      </c>
      <c r="F113" s="32" t="s">
        <v>530</v>
      </c>
      <c r="G113" s="33">
        <v>1676</v>
      </c>
      <c r="H113" s="34">
        <v>42917</v>
      </c>
      <c r="I113" t="s">
        <v>510</v>
      </c>
      <c r="J113" s="30" t="s">
        <v>511</v>
      </c>
    </row>
    <row r="114" spans="1:10" ht="12.75" customHeight="1" x14ac:dyDescent="0.2">
      <c r="A114" s="32" t="s">
        <v>531</v>
      </c>
      <c r="B114" s="32" t="s">
        <v>532</v>
      </c>
      <c r="C114" s="32" t="s">
        <v>529</v>
      </c>
      <c r="D114" s="32" t="s">
        <v>226</v>
      </c>
      <c r="E114" s="32" t="s">
        <v>520</v>
      </c>
      <c r="F114" s="32" t="s">
        <v>520</v>
      </c>
      <c r="G114" s="33">
        <v>2070.48</v>
      </c>
      <c r="H114" s="34">
        <v>32540</v>
      </c>
      <c r="I114" t="s">
        <v>510</v>
      </c>
      <c r="J114" s="30" t="s">
        <v>511</v>
      </c>
    </row>
    <row r="115" spans="1:10" ht="12.75" customHeight="1" x14ac:dyDescent="0.2">
      <c r="A115" s="32" t="s">
        <v>533</v>
      </c>
      <c r="B115" s="32" t="s">
        <v>534</v>
      </c>
      <c r="C115" s="32" t="s">
        <v>529</v>
      </c>
      <c r="D115" s="32" t="s">
        <v>219</v>
      </c>
      <c r="E115" s="32" t="s">
        <v>279</v>
      </c>
      <c r="F115" s="32" t="s">
        <v>530</v>
      </c>
      <c r="G115" s="33">
        <v>1676</v>
      </c>
      <c r="H115" s="34">
        <v>42917</v>
      </c>
      <c r="I115" t="s">
        <v>510</v>
      </c>
      <c r="J115" s="30" t="s">
        <v>511</v>
      </c>
    </row>
    <row r="116" spans="1:10" ht="12.75" customHeight="1" x14ac:dyDescent="0.2">
      <c r="A116" s="32" t="s">
        <v>535</v>
      </c>
      <c r="B116" s="32" t="s">
        <v>536</v>
      </c>
      <c r="C116" s="32" t="s">
        <v>508</v>
      </c>
      <c r="D116" s="32" t="s">
        <v>219</v>
      </c>
      <c r="E116" s="32" t="s">
        <v>279</v>
      </c>
      <c r="F116" s="32" t="s">
        <v>523</v>
      </c>
      <c r="G116" s="33">
        <v>1676</v>
      </c>
      <c r="H116" s="34">
        <v>41298</v>
      </c>
      <c r="I116" t="s">
        <v>510</v>
      </c>
      <c r="J116" s="30" t="s">
        <v>511</v>
      </c>
    </row>
    <row r="117" spans="1:10" ht="12.75" customHeight="1" x14ac:dyDescent="0.2">
      <c r="A117" s="32" t="s">
        <v>537</v>
      </c>
      <c r="B117" s="32" t="s">
        <v>538</v>
      </c>
      <c r="C117" s="32" t="s">
        <v>508</v>
      </c>
      <c r="D117" s="32" t="s">
        <v>226</v>
      </c>
      <c r="E117" s="32" t="s">
        <v>539</v>
      </c>
      <c r="F117" s="32" t="s">
        <v>539</v>
      </c>
      <c r="G117" s="33">
        <v>2944.12</v>
      </c>
      <c r="H117" s="34">
        <v>31841</v>
      </c>
      <c r="I117" t="s">
        <v>510</v>
      </c>
      <c r="J117" s="30" t="s">
        <v>511</v>
      </c>
    </row>
    <row r="118" spans="1:10" ht="12.75" customHeight="1" x14ac:dyDescent="0.2">
      <c r="A118" s="32" t="s">
        <v>540</v>
      </c>
      <c r="B118" s="32" t="s">
        <v>541</v>
      </c>
      <c r="C118" s="32" t="s">
        <v>508</v>
      </c>
      <c r="D118" s="32" t="s">
        <v>219</v>
      </c>
      <c r="E118" s="32" t="s">
        <v>279</v>
      </c>
      <c r="F118" s="32" t="s">
        <v>526</v>
      </c>
      <c r="G118" s="33">
        <v>1676</v>
      </c>
      <c r="H118" s="34">
        <v>39845</v>
      </c>
      <c r="I118" t="s">
        <v>510</v>
      </c>
      <c r="J118" s="30" t="s">
        <v>511</v>
      </c>
    </row>
    <row r="119" spans="1:10" ht="12.75" customHeight="1" x14ac:dyDescent="0.2">
      <c r="A119" s="32" t="s">
        <v>542</v>
      </c>
      <c r="B119" s="32" t="s">
        <v>543</v>
      </c>
      <c r="C119" s="32" t="s">
        <v>508</v>
      </c>
      <c r="D119" s="32" t="s">
        <v>226</v>
      </c>
      <c r="E119" s="32" t="s">
        <v>544</v>
      </c>
      <c r="F119" s="32" t="s">
        <v>544</v>
      </c>
      <c r="G119" s="33">
        <v>2859</v>
      </c>
      <c r="H119" s="34">
        <v>32594</v>
      </c>
      <c r="I119" t="s">
        <v>510</v>
      </c>
      <c r="J119" s="30" t="s">
        <v>511</v>
      </c>
    </row>
    <row r="120" spans="1:10" ht="12.75" customHeight="1" x14ac:dyDescent="0.2">
      <c r="A120" s="32" t="s">
        <v>545</v>
      </c>
      <c r="B120" s="32" t="s">
        <v>546</v>
      </c>
      <c r="C120" s="32" t="s">
        <v>547</v>
      </c>
      <c r="D120" s="32" t="s">
        <v>219</v>
      </c>
      <c r="E120" s="32" t="s">
        <v>301</v>
      </c>
      <c r="F120" s="32" t="s">
        <v>548</v>
      </c>
      <c r="G120" s="33">
        <v>527</v>
      </c>
      <c r="H120" s="34">
        <v>43009</v>
      </c>
      <c r="I120" t="s">
        <v>510</v>
      </c>
      <c r="J120" s="30" t="s">
        <v>511</v>
      </c>
    </row>
    <row r="121" spans="1:10" ht="12.75" customHeight="1" x14ac:dyDescent="0.2">
      <c r="A121" s="32" t="s">
        <v>549</v>
      </c>
      <c r="B121" s="32" t="s">
        <v>550</v>
      </c>
      <c r="C121" s="32" t="s">
        <v>529</v>
      </c>
      <c r="D121" s="32" t="s">
        <v>219</v>
      </c>
      <c r="E121" s="32" t="s">
        <v>264</v>
      </c>
      <c r="F121" s="32" t="s">
        <v>551</v>
      </c>
      <c r="G121" s="33">
        <v>733</v>
      </c>
      <c r="H121" s="34">
        <v>43221</v>
      </c>
      <c r="I121" t="s">
        <v>510</v>
      </c>
      <c r="J121" s="30" t="s">
        <v>511</v>
      </c>
    </row>
    <row r="122" spans="1:10" ht="12.75" customHeight="1" x14ac:dyDescent="0.2">
      <c r="A122" s="32" t="s">
        <v>552</v>
      </c>
      <c r="B122" s="32" t="s">
        <v>553</v>
      </c>
      <c r="C122" s="32" t="s">
        <v>508</v>
      </c>
      <c r="D122" s="32" t="s">
        <v>219</v>
      </c>
      <c r="E122" s="32" t="s">
        <v>220</v>
      </c>
      <c r="F122" s="32" t="s">
        <v>554</v>
      </c>
      <c r="G122" s="33">
        <v>2034</v>
      </c>
      <c r="H122" s="34">
        <v>42522</v>
      </c>
      <c r="I122" t="s">
        <v>510</v>
      </c>
      <c r="J122" s="30" t="s">
        <v>511</v>
      </c>
    </row>
    <row r="123" spans="1:10" ht="12.75" customHeight="1" x14ac:dyDescent="0.2">
      <c r="A123" s="32" t="s">
        <v>555</v>
      </c>
      <c r="B123" s="32" t="s">
        <v>556</v>
      </c>
      <c r="C123" s="32" t="s">
        <v>547</v>
      </c>
      <c r="D123" s="32" t="s">
        <v>219</v>
      </c>
      <c r="E123" s="32" t="s">
        <v>557</v>
      </c>
      <c r="F123" s="32" t="s">
        <v>558</v>
      </c>
      <c r="G123" s="33">
        <v>2472</v>
      </c>
      <c r="H123" s="34">
        <v>42401</v>
      </c>
      <c r="I123" t="s">
        <v>510</v>
      </c>
      <c r="J123" s="30" t="s">
        <v>511</v>
      </c>
    </row>
    <row r="124" spans="1:10" ht="12.75" customHeight="1" x14ac:dyDescent="0.2">
      <c r="A124" s="32" t="s">
        <v>559</v>
      </c>
      <c r="B124" s="32" t="s">
        <v>560</v>
      </c>
      <c r="C124" s="32" t="s">
        <v>508</v>
      </c>
      <c r="D124" s="32" t="s">
        <v>219</v>
      </c>
      <c r="E124" s="32" t="s">
        <v>279</v>
      </c>
      <c r="F124" s="32" t="s">
        <v>523</v>
      </c>
      <c r="G124" s="33">
        <v>1676</v>
      </c>
      <c r="H124" s="34">
        <v>37672</v>
      </c>
      <c r="I124" t="s">
        <v>510</v>
      </c>
      <c r="J124" s="30" t="s">
        <v>511</v>
      </c>
    </row>
    <row r="125" spans="1:10" ht="12.75" customHeight="1" x14ac:dyDescent="0.2">
      <c r="A125" s="32" t="s">
        <v>561</v>
      </c>
      <c r="B125" s="32" t="s">
        <v>562</v>
      </c>
      <c r="C125" s="32" t="s">
        <v>508</v>
      </c>
      <c r="D125" s="32" t="s">
        <v>226</v>
      </c>
      <c r="E125" s="32" t="s">
        <v>295</v>
      </c>
      <c r="F125" s="32" t="s">
        <v>295</v>
      </c>
      <c r="G125" s="33">
        <v>2106.17</v>
      </c>
      <c r="H125" s="34">
        <v>37627</v>
      </c>
      <c r="I125" t="s">
        <v>510</v>
      </c>
      <c r="J125" s="30" t="s">
        <v>511</v>
      </c>
    </row>
    <row r="126" spans="1:10" ht="12.75" customHeight="1" x14ac:dyDescent="0.2">
      <c r="A126" s="32" t="s">
        <v>563</v>
      </c>
      <c r="B126" s="32" t="s">
        <v>564</v>
      </c>
      <c r="C126" s="32" t="s">
        <v>529</v>
      </c>
      <c r="D126" s="32" t="s">
        <v>226</v>
      </c>
      <c r="E126" s="32" t="s">
        <v>227</v>
      </c>
      <c r="F126" s="32" t="s">
        <v>227</v>
      </c>
      <c r="G126" s="33">
        <v>1778.7</v>
      </c>
      <c r="H126" s="34">
        <v>33483</v>
      </c>
      <c r="I126" t="s">
        <v>510</v>
      </c>
      <c r="J126" s="30" t="s">
        <v>511</v>
      </c>
    </row>
    <row r="127" spans="1:10" ht="12.75" customHeight="1" x14ac:dyDescent="0.2">
      <c r="A127" s="32" t="s">
        <v>565</v>
      </c>
      <c r="B127" s="32" t="s">
        <v>566</v>
      </c>
      <c r="C127" s="32" t="s">
        <v>508</v>
      </c>
      <c r="D127" s="32" t="s">
        <v>219</v>
      </c>
      <c r="E127" s="32" t="s">
        <v>279</v>
      </c>
      <c r="F127" s="32" t="s">
        <v>567</v>
      </c>
      <c r="G127" s="33">
        <v>1676</v>
      </c>
      <c r="H127" s="34">
        <v>42887</v>
      </c>
      <c r="I127" t="s">
        <v>510</v>
      </c>
      <c r="J127" s="30" t="s">
        <v>511</v>
      </c>
    </row>
    <row r="128" spans="1:10" ht="12.75" customHeight="1" x14ac:dyDescent="0.2">
      <c r="A128" s="32" t="s">
        <v>568</v>
      </c>
      <c r="B128" s="32" t="s">
        <v>569</v>
      </c>
      <c r="C128" s="32" t="s">
        <v>529</v>
      </c>
      <c r="D128" s="32" t="s">
        <v>219</v>
      </c>
      <c r="E128" s="32" t="s">
        <v>279</v>
      </c>
      <c r="F128" s="32" t="s">
        <v>523</v>
      </c>
      <c r="G128" s="33">
        <v>1676</v>
      </c>
      <c r="H128" s="34">
        <v>42257</v>
      </c>
      <c r="I128" t="s">
        <v>510</v>
      </c>
      <c r="J128" s="30" t="s">
        <v>511</v>
      </c>
    </row>
    <row r="129" spans="1:10" ht="12.75" customHeight="1" x14ac:dyDescent="0.2">
      <c r="A129" s="32" t="s">
        <v>570</v>
      </c>
      <c r="B129" s="32" t="s">
        <v>571</v>
      </c>
      <c r="C129" s="32" t="s">
        <v>547</v>
      </c>
      <c r="D129" s="32" t="s">
        <v>226</v>
      </c>
      <c r="E129" s="32" t="s">
        <v>233</v>
      </c>
      <c r="F129" s="32" t="s">
        <v>233</v>
      </c>
      <c r="G129" s="33">
        <v>1760</v>
      </c>
      <c r="H129" s="34">
        <v>40980</v>
      </c>
      <c r="I129" t="s">
        <v>510</v>
      </c>
      <c r="J129" s="30" t="s">
        <v>511</v>
      </c>
    </row>
    <row r="130" spans="1:10" ht="12.75" customHeight="1" x14ac:dyDescent="0.2">
      <c r="A130" s="32" t="s">
        <v>572</v>
      </c>
      <c r="B130" s="32" t="s">
        <v>573</v>
      </c>
      <c r="C130" s="32" t="s">
        <v>508</v>
      </c>
      <c r="D130" s="32" t="s">
        <v>219</v>
      </c>
      <c r="E130" s="32" t="s">
        <v>279</v>
      </c>
      <c r="F130" s="32" t="s">
        <v>523</v>
      </c>
      <c r="G130" s="33">
        <v>1676</v>
      </c>
      <c r="H130" s="34">
        <v>42705</v>
      </c>
      <c r="I130" t="s">
        <v>510</v>
      </c>
      <c r="J130" s="30" t="s">
        <v>511</v>
      </c>
    </row>
    <row r="131" spans="1:10" ht="12.75" customHeight="1" x14ac:dyDescent="0.2">
      <c r="A131" s="32" t="s">
        <v>574</v>
      </c>
      <c r="B131" s="32" t="s">
        <v>575</v>
      </c>
      <c r="C131" s="32" t="s">
        <v>508</v>
      </c>
      <c r="D131" s="32" t="s">
        <v>226</v>
      </c>
      <c r="E131" s="32" t="s">
        <v>539</v>
      </c>
      <c r="F131" s="32" t="s">
        <v>539</v>
      </c>
      <c r="G131" s="33">
        <v>2972.64</v>
      </c>
      <c r="H131" s="34">
        <v>32272</v>
      </c>
      <c r="I131" t="s">
        <v>510</v>
      </c>
      <c r="J131" s="30" t="s">
        <v>511</v>
      </c>
    </row>
    <row r="132" spans="1:10" ht="12.75" customHeight="1" x14ac:dyDescent="0.2">
      <c r="A132" s="32" t="s">
        <v>576</v>
      </c>
      <c r="B132" s="32" t="s">
        <v>577</v>
      </c>
      <c r="C132" s="32" t="s">
        <v>508</v>
      </c>
      <c r="D132" s="32" t="s">
        <v>226</v>
      </c>
      <c r="E132" s="32" t="s">
        <v>244</v>
      </c>
      <c r="F132" s="32" t="s">
        <v>244</v>
      </c>
      <c r="G132" s="33">
        <v>2457.0300000000002</v>
      </c>
      <c r="H132" s="34">
        <v>33240</v>
      </c>
      <c r="I132" t="s">
        <v>510</v>
      </c>
      <c r="J132" s="30" t="s">
        <v>511</v>
      </c>
    </row>
    <row r="133" spans="1:10" ht="12.75" customHeight="1" x14ac:dyDescent="0.2">
      <c r="A133" s="32" t="s">
        <v>578</v>
      </c>
      <c r="B133" s="32" t="s">
        <v>579</v>
      </c>
      <c r="C133" s="32" t="s">
        <v>529</v>
      </c>
      <c r="D133" s="32" t="s">
        <v>219</v>
      </c>
      <c r="E133" s="32" t="s">
        <v>580</v>
      </c>
      <c r="F133" s="32" t="s">
        <v>581</v>
      </c>
      <c r="G133" s="33">
        <v>2641</v>
      </c>
      <c r="H133" s="34">
        <v>42887</v>
      </c>
      <c r="I133" t="s">
        <v>510</v>
      </c>
      <c r="J133" s="30" t="s">
        <v>511</v>
      </c>
    </row>
    <row r="134" spans="1:10" ht="12.75" customHeight="1" x14ac:dyDescent="0.2">
      <c r="A134" s="32" t="s">
        <v>582</v>
      </c>
      <c r="B134" s="32" t="s">
        <v>583</v>
      </c>
      <c r="C134" s="32" t="s">
        <v>584</v>
      </c>
      <c r="D134" s="32" t="s">
        <v>219</v>
      </c>
      <c r="E134" s="32" t="s">
        <v>264</v>
      </c>
      <c r="F134" s="32" t="s">
        <v>265</v>
      </c>
      <c r="G134" s="33">
        <v>733</v>
      </c>
      <c r="H134" s="34">
        <v>42795</v>
      </c>
      <c r="I134" t="s">
        <v>585</v>
      </c>
      <c r="J134" s="30">
        <v>1706051594</v>
      </c>
    </row>
    <row r="135" spans="1:10" ht="12.75" customHeight="1" x14ac:dyDescent="0.2">
      <c r="A135" s="32" t="s">
        <v>586</v>
      </c>
      <c r="B135" s="32" t="s">
        <v>587</v>
      </c>
      <c r="C135" s="32" t="s">
        <v>584</v>
      </c>
      <c r="D135" s="32" t="s">
        <v>588</v>
      </c>
      <c r="E135" s="32" t="s">
        <v>220</v>
      </c>
      <c r="F135" s="32" t="s">
        <v>589</v>
      </c>
      <c r="G135" s="33">
        <v>2034</v>
      </c>
      <c r="H135" s="34">
        <v>43221</v>
      </c>
      <c r="I135" t="s">
        <v>585</v>
      </c>
      <c r="J135" s="30">
        <v>1706051594</v>
      </c>
    </row>
    <row r="136" spans="1:10" ht="12.75" customHeight="1" x14ac:dyDescent="0.2">
      <c r="A136" s="32" t="s">
        <v>590</v>
      </c>
      <c r="B136" s="32" t="s">
        <v>591</v>
      </c>
      <c r="C136" s="32" t="s">
        <v>592</v>
      </c>
      <c r="D136" s="32" t="s">
        <v>219</v>
      </c>
      <c r="E136" s="32" t="s">
        <v>264</v>
      </c>
      <c r="F136" s="32" t="s">
        <v>265</v>
      </c>
      <c r="G136" s="33">
        <v>733</v>
      </c>
      <c r="H136" s="34">
        <v>42979</v>
      </c>
      <c r="I136" t="s">
        <v>585</v>
      </c>
      <c r="J136" s="30">
        <v>1706051594</v>
      </c>
    </row>
    <row r="137" spans="1:10" ht="12.75" customHeight="1" x14ac:dyDescent="0.2">
      <c r="A137" s="32" t="s">
        <v>593</v>
      </c>
      <c r="B137" s="32" t="s">
        <v>594</v>
      </c>
      <c r="C137" s="32" t="s">
        <v>592</v>
      </c>
      <c r="D137" s="32" t="s">
        <v>219</v>
      </c>
      <c r="E137" s="32" t="s">
        <v>394</v>
      </c>
      <c r="F137" s="32" t="s">
        <v>595</v>
      </c>
      <c r="G137" s="33">
        <v>1212</v>
      </c>
      <c r="H137" s="34">
        <v>43191</v>
      </c>
      <c r="I137" t="s">
        <v>585</v>
      </c>
      <c r="J137" s="30">
        <v>1706051594</v>
      </c>
    </row>
    <row r="138" spans="1:10" ht="12.75" customHeight="1" x14ac:dyDescent="0.2">
      <c r="A138" s="32" t="s">
        <v>596</v>
      </c>
      <c r="B138" s="32" t="s">
        <v>597</v>
      </c>
      <c r="C138" s="32" t="s">
        <v>592</v>
      </c>
      <c r="D138" s="32" t="s">
        <v>226</v>
      </c>
      <c r="E138" s="32" t="s">
        <v>598</v>
      </c>
      <c r="F138" s="32" t="s">
        <v>598</v>
      </c>
      <c r="G138" s="33">
        <v>2191.14</v>
      </c>
      <c r="H138" s="34">
        <v>32366</v>
      </c>
      <c r="I138" t="s">
        <v>585</v>
      </c>
      <c r="J138" s="30">
        <v>1706051594</v>
      </c>
    </row>
    <row r="139" spans="1:10" ht="12.75" customHeight="1" x14ac:dyDescent="0.2">
      <c r="A139" s="32" t="s">
        <v>599</v>
      </c>
      <c r="B139" s="32" t="s">
        <v>600</v>
      </c>
      <c r="C139" s="32" t="s">
        <v>592</v>
      </c>
      <c r="D139" s="32" t="s">
        <v>219</v>
      </c>
      <c r="E139" s="32" t="s">
        <v>269</v>
      </c>
      <c r="F139" s="32" t="s">
        <v>601</v>
      </c>
      <c r="G139" s="33">
        <v>1412</v>
      </c>
      <c r="H139" s="34">
        <v>42948</v>
      </c>
      <c r="I139" t="s">
        <v>585</v>
      </c>
      <c r="J139" s="30">
        <v>1706051594</v>
      </c>
    </row>
    <row r="140" spans="1:10" ht="12.75" customHeight="1" x14ac:dyDescent="0.2">
      <c r="A140" s="32" t="s">
        <v>602</v>
      </c>
      <c r="B140" s="32" t="s">
        <v>603</v>
      </c>
      <c r="C140" s="32" t="s">
        <v>604</v>
      </c>
      <c r="D140" s="32" t="s">
        <v>219</v>
      </c>
      <c r="E140" s="32" t="s">
        <v>269</v>
      </c>
      <c r="F140" s="32" t="s">
        <v>605</v>
      </c>
      <c r="G140" s="33">
        <v>1412</v>
      </c>
      <c r="H140" s="34">
        <v>43221</v>
      </c>
      <c r="I140" t="s">
        <v>606</v>
      </c>
      <c r="J140" s="30" t="s">
        <v>607</v>
      </c>
    </row>
    <row r="141" spans="1:10" ht="12.75" customHeight="1" x14ac:dyDescent="0.2">
      <c r="A141" s="32" t="s">
        <v>608</v>
      </c>
      <c r="B141" s="32" t="s">
        <v>609</v>
      </c>
      <c r="C141" s="32" t="s">
        <v>610</v>
      </c>
      <c r="D141" s="32" t="s">
        <v>219</v>
      </c>
      <c r="E141" s="32" t="s">
        <v>301</v>
      </c>
      <c r="F141" s="32" t="s">
        <v>548</v>
      </c>
      <c r="G141" s="33">
        <v>527</v>
      </c>
      <c r="H141" s="34">
        <v>35289</v>
      </c>
      <c r="I141" t="s">
        <v>606</v>
      </c>
      <c r="J141" s="30" t="s">
        <v>607</v>
      </c>
    </row>
    <row r="142" spans="1:10" ht="12.75" customHeight="1" x14ac:dyDescent="0.2">
      <c r="A142" s="32" t="s">
        <v>611</v>
      </c>
      <c r="B142" s="32" t="s">
        <v>612</v>
      </c>
      <c r="C142" s="32" t="s">
        <v>604</v>
      </c>
      <c r="D142" s="32" t="s">
        <v>219</v>
      </c>
      <c r="E142" s="32" t="s">
        <v>613</v>
      </c>
      <c r="F142" s="32" t="s">
        <v>614</v>
      </c>
      <c r="G142" s="33">
        <v>2967</v>
      </c>
      <c r="H142" s="34">
        <v>42926</v>
      </c>
      <c r="I142" t="s">
        <v>606</v>
      </c>
      <c r="J142" s="30" t="s">
        <v>607</v>
      </c>
    </row>
    <row r="143" spans="1:10" ht="12.75" customHeight="1" x14ac:dyDescent="0.2">
      <c r="A143" s="32" t="s">
        <v>615</v>
      </c>
      <c r="B143" s="32" t="s">
        <v>616</v>
      </c>
      <c r="C143" s="32" t="s">
        <v>617</v>
      </c>
      <c r="D143" s="32" t="s">
        <v>219</v>
      </c>
      <c r="E143" s="32" t="s">
        <v>613</v>
      </c>
      <c r="F143" s="32" t="s">
        <v>618</v>
      </c>
      <c r="G143" s="33">
        <v>2967</v>
      </c>
      <c r="H143" s="34">
        <v>41428</v>
      </c>
      <c r="I143" t="s">
        <v>606</v>
      </c>
      <c r="J143" s="30" t="s">
        <v>607</v>
      </c>
    </row>
    <row r="144" spans="1:10" ht="12.75" customHeight="1" x14ac:dyDescent="0.2">
      <c r="A144" s="32" t="s">
        <v>619</v>
      </c>
      <c r="B144" s="32" t="s">
        <v>620</v>
      </c>
      <c r="C144" s="32" t="s">
        <v>604</v>
      </c>
      <c r="D144" s="32" t="s">
        <v>219</v>
      </c>
      <c r="E144" s="32" t="s">
        <v>220</v>
      </c>
      <c r="F144" s="32" t="s">
        <v>621</v>
      </c>
      <c r="G144" s="33">
        <v>2034</v>
      </c>
      <c r="H144" s="34">
        <v>42948</v>
      </c>
      <c r="I144" t="s">
        <v>606</v>
      </c>
      <c r="J144" s="30" t="s">
        <v>607</v>
      </c>
    </row>
    <row r="145" spans="1:10" ht="12.75" customHeight="1" x14ac:dyDescent="0.2">
      <c r="A145" s="32" t="s">
        <v>622</v>
      </c>
      <c r="B145" s="32" t="s">
        <v>623</v>
      </c>
      <c r="C145" s="32" t="s">
        <v>604</v>
      </c>
      <c r="D145" s="32" t="s">
        <v>219</v>
      </c>
      <c r="E145" s="32" t="s">
        <v>557</v>
      </c>
      <c r="F145" s="32" t="s">
        <v>624</v>
      </c>
      <c r="G145" s="33">
        <v>2472</v>
      </c>
      <c r="H145" s="34">
        <v>43252</v>
      </c>
      <c r="I145" t="s">
        <v>606</v>
      </c>
      <c r="J145" s="30" t="s">
        <v>607</v>
      </c>
    </row>
    <row r="146" spans="1:10" ht="12.75" customHeight="1" x14ac:dyDescent="0.2">
      <c r="A146" s="32" t="s">
        <v>625</v>
      </c>
      <c r="B146" s="32" t="s">
        <v>626</v>
      </c>
      <c r="C146" s="32" t="s">
        <v>610</v>
      </c>
      <c r="D146" s="32" t="s">
        <v>226</v>
      </c>
      <c r="E146" s="32" t="s">
        <v>476</v>
      </c>
      <c r="F146" s="32" t="s">
        <v>476</v>
      </c>
      <c r="G146" s="33">
        <v>2924.12</v>
      </c>
      <c r="H146" s="34">
        <v>31378</v>
      </c>
      <c r="I146" t="s">
        <v>606</v>
      </c>
      <c r="J146" s="30" t="s">
        <v>607</v>
      </c>
    </row>
    <row r="147" spans="1:10" ht="12.75" customHeight="1" x14ac:dyDescent="0.2">
      <c r="A147" s="32" t="s">
        <v>627</v>
      </c>
      <c r="B147" s="32" t="s">
        <v>628</v>
      </c>
      <c r="C147" s="32" t="s">
        <v>604</v>
      </c>
      <c r="D147" s="32" t="s">
        <v>219</v>
      </c>
      <c r="E147" s="32" t="s">
        <v>269</v>
      </c>
      <c r="F147" s="32" t="s">
        <v>605</v>
      </c>
      <c r="G147" s="33">
        <v>1412</v>
      </c>
      <c r="H147" s="34">
        <v>42887</v>
      </c>
      <c r="I147" t="s">
        <v>606</v>
      </c>
      <c r="J147" s="30" t="s">
        <v>607</v>
      </c>
    </row>
    <row r="148" spans="1:10" ht="12.75" customHeight="1" x14ac:dyDescent="0.2">
      <c r="A148" s="32" t="s">
        <v>629</v>
      </c>
      <c r="B148" s="32" t="s">
        <v>630</v>
      </c>
      <c r="C148" s="32" t="s">
        <v>631</v>
      </c>
      <c r="D148" s="32" t="s">
        <v>219</v>
      </c>
      <c r="E148" s="32" t="s">
        <v>233</v>
      </c>
      <c r="F148" s="32" t="s">
        <v>632</v>
      </c>
      <c r="G148" s="33">
        <v>1760</v>
      </c>
      <c r="H148" s="34">
        <v>43191</v>
      </c>
      <c r="I148" t="s">
        <v>633</v>
      </c>
      <c r="J148" s="30" t="s">
        <v>634</v>
      </c>
    </row>
    <row r="149" spans="1:10" ht="12.75" customHeight="1" x14ac:dyDescent="0.2">
      <c r="A149" s="32" t="s">
        <v>635</v>
      </c>
      <c r="B149" s="32" t="s">
        <v>636</v>
      </c>
      <c r="C149" s="32" t="s">
        <v>637</v>
      </c>
      <c r="D149" s="32" t="s">
        <v>226</v>
      </c>
      <c r="E149" s="32" t="s">
        <v>244</v>
      </c>
      <c r="F149" s="32" t="s">
        <v>244</v>
      </c>
      <c r="G149" s="33">
        <v>2539.4899999999998</v>
      </c>
      <c r="H149" s="34">
        <v>31701</v>
      </c>
      <c r="I149" t="s">
        <v>633</v>
      </c>
      <c r="J149" s="30" t="s">
        <v>634</v>
      </c>
    </row>
    <row r="150" spans="1:10" ht="12.75" customHeight="1" x14ac:dyDescent="0.2">
      <c r="A150" s="32" t="s">
        <v>638</v>
      </c>
      <c r="B150" s="32" t="s">
        <v>639</v>
      </c>
      <c r="C150" s="32" t="s">
        <v>631</v>
      </c>
      <c r="D150" s="32" t="s">
        <v>219</v>
      </c>
      <c r="E150" s="32" t="s">
        <v>269</v>
      </c>
      <c r="F150" s="32" t="s">
        <v>601</v>
      </c>
      <c r="G150" s="33">
        <v>1412</v>
      </c>
      <c r="H150" s="34">
        <v>42179</v>
      </c>
      <c r="I150" t="s">
        <v>633</v>
      </c>
      <c r="J150" s="30" t="s">
        <v>634</v>
      </c>
    </row>
    <row r="151" spans="1:10" ht="12.75" customHeight="1" x14ac:dyDescent="0.2">
      <c r="A151" s="32" t="s">
        <v>640</v>
      </c>
      <c r="B151" s="32" t="s">
        <v>641</v>
      </c>
      <c r="C151" s="32" t="s">
        <v>642</v>
      </c>
      <c r="D151" s="32" t="s">
        <v>219</v>
      </c>
      <c r="E151" s="32" t="s">
        <v>260</v>
      </c>
      <c r="F151" s="32" t="s">
        <v>643</v>
      </c>
      <c r="G151" s="33">
        <v>817</v>
      </c>
      <c r="H151" s="34">
        <v>41927</v>
      </c>
      <c r="I151" t="s">
        <v>644</v>
      </c>
      <c r="J151" s="30" t="s">
        <v>645</v>
      </c>
    </row>
    <row r="152" spans="1:10" ht="12.75" customHeight="1" x14ac:dyDescent="0.2">
      <c r="A152" s="32" t="s">
        <v>646</v>
      </c>
      <c r="B152" s="32" t="s">
        <v>647</v>
      </c>
      <c r="C152" s="32" t="s">
        <v>642</v>
      </c>
      <c r="D152" s="32" t="s">
        <v>219</v>
      </c>
      <c r="E152" s="32" t="s">
        <v>260</v>
      </c>
      <c r="F152" s="32" t="s">
        <v>643</v>
      </c>
      <c r="G152" s="33">
        <v>817</v>
      </c>
      <c r="H152" s="34">
        <v>42920</v>
      </c>
      <c r="I152" t="s">
        <v>644</v>
      </c>
      <c r="J152" s="30" t="s">
        <v>645</v>
      </c>
    </row>
    <row r="153" spans="1:10" ht="12.75" customHeight="1" x14ac:dyDescent="0.2">
      <c r="A153" s="32" t="s">
        <v>648</v>
      </c>
      <c r="B153" s="32" t="s">
        <v>649</v>
      </c>
      <c r="C153" s="32" t="s">
        <v>642</v>
      </c>
      <c r="D153" s="32" t="s">
        <v>219</v>
      </c>
      <c r="E153" s="32" t="s">
        <v>260</v>
      </c>
      <c r="F153" s="32" t="s">
        <v>643</v>
      </c>
      <c r="G153" s="33">
        <v>817</v>
      </c>
      <c r="H153" s="34">
        <v>41180</v>
      </c>
      <c r="I153" t="s">
        <v>644</v>
      </c>
      <c r="J153" s="30" t="s">
        <v>645</v>
      </c>
    </row>
    <row r="154" spans="1:10" ht="12.75" customHeight="1" x14ac:dyDescent="0.2">
      <c r="A154" s="32" t="s">
        <v>650</v>
      </c>
      <c r="B154" s="32" t="s">
        <v>651</v>
      </c>
      <c r="C154" s="32" t="s">
        <v>652</v>
      </c>
      <c r="D154" s="32" t="s">
        <v>219</v>
      </c>
      <c r="E154" s="32" t="s">
        <v>220</v>
      </c>
      <c r="F154" s="32" t="s">
        <v>653</v>
      </c>
      <c r="G154" s="33">
        <v>2034</v>
      </c>
      <c r="H154" s="34">
        <v>41456</v>
      </c>
      <c r="I154" t="s">
        <v>644</v>
      </c>
      <c r="J154" s="30" t="s">
        <v>645</v>
      </c>
    </row>
    <row r="155" spans="1:10" ht="12.75" customHeight="1" x14ac:dyDescent="0.2">
      <c r="A155" s="32" t="s">
        <v>654</v>
      </c>
      <c r="B155" s="32" t="s">
        <v>655</v>
      </c>
      <c r="C155" s="32" t="s">
        <v>642</v>
      </c>
      <c r="D155" s="32" t="s">
        <v>219</v>
      </c>
      <c r="E155" s="32" t="s">
        <v>260</v>
      </c>
      <c r="F155" s="32" t="s">
        <v>643</v>
      </c>
      <c r="G155" s="33">
        <v>817</v>
      </c>
      <c r="H155" s="34">
        <v>42979</v>
      </c>
      <c r="I155" t="s">
        <v>644</v>
      </c>
      <c r="J155" s="30" t="s">
        <v>645</v>
      </c>
    </row>
    <row r="156" spans="1:10" ht="12.75" customHeight="1" x14ac:dyDescent="0.2">
      <c r="A156" s="32" t="s">
        <v>656</v>
      </c>
      <c r="B156" s="32" t="s">
        <v>657</v>
      </c>
      <c r="C156" s="32" t="s">
        <v>642</v>
      </c>
      <c r="D156" s="32" t="s">
        <v>219</v>
      </c>
      <c r="E156" s="32" t="s">
        <v>233</v>
      </c>
      <c r="F156" s="32" t="s">
        <v>658</v>
      </c>
      <c r="G156" s="33">
        <v>1760</v>
      </c>
      <c r="H156" s="34">
        <v>39947</v>
      </c>
      <c r="I156" t="s">
        <v>644</v>
      </c>
      <c r="J156" s="30" t="s">
        <v>645</v>
      </c>
    </row>
    <row r="157" spans="1:10" ht="12.75" customHeight="1" x14ac:dyDescent="0.2">
      <c r="A157" s="32" t="s">
        <v>659</v>
      </c>
      <c r="B157" s="32" t="s">
        <v>660</v>
      </c>
      <c r="C157" s="32" t="s">
        <v>661</v>
      </c>
      <c r="D157" s="32" t="s">
        <v>219</v>
      </c>
      <c r="E157" s="32" t="s">
        <v>336</v>
      </c>
      <c r="F157" s="32" t="s">
        <v>662</v>
      </c>
      <c r="G157" s="33">
        <v>2308</v>
      </c>
      <c r="H157" s="34">
        <v>41351</v>
      </c>
      <c r="I157" t="s">
        <v>644</v>
      </c>
      <c r="J157" s="30" t="s">
        <v>645</v>
      </c>
    </row>
    <row r="158" spans="1:10" ht="12.75" customHeight="1" x14ac:dyDescent="0.2">
      <c r="A158" s="32" t="s">
        <v>663</v>
      </c>
      <c r="B158" s="32" t="s">
        <v>664</v>
      </c>
      <c r="C158" s="32" t="s">
        <v>661</v>
      </c>
      <c r="D158" s="32" t="s">
        <v>219</v>
      </c>
      <c r="E158" s="32" t="s">
        <v>279</v>
      </c>
      <c r="F158" s="32" t="s">
        <v>665</v>
      </c>
      <c r="G158" s="33">
        <v>1676</v>
      </c>
      <c r="H158" s="34">
        <v>42948</v>
      </c>
      <c r="I158" t="s">
        <v>644</v>
      </c>
      <c r="J158" s="30" t="s">
        <v>645</v>
      </c>
    </row>
    <row r="159" spans="1:10" ht="12.75" customHeight="1" x14ac:dyDescent="0.2">
      <c r="A159" s="32" t="s">
        <v>666</v>
      </c>
      <c r="B159" s="32" t="s">
        <v>667</v>
      </c>
      <c r="C159" s="32" t="s">
        <v>652</v>
      </c>
      <c r="D159" s="32" t="s">
        <v>219</v>
      </c>
      <c r="E159" s="32" t="s">
        <v>279</v>
      </c>
      <c r="F159" s="32" t="s">
        <v>665</v>
      </c>
      <c r="G159" s="33">
        <v>1676</v>
      </c>
      <c r="H159" s="34">
        <v>42979</v>
      </c>
      <c r="I159" t="s">
        <v>644</v>
      </c>
      <c r="J159" s="30" t="s">
        <v>645</v>
      </c>
    </row>
    <row r="160" spans="1:10" ht="12.75" customHeight="1" x14ac:dyDescent="0.2">
      <c r="A160" s="32" t="s">
        <v>668</v>
      </c>
      <c r="B160" s="32" t="s">
        <v>669</v>
      </c>
      <c r="C160" s="32" t="s">
        <v>661</v>
      </c>
      <c r="D160" s="32" t="s">
        <v>219</v>
      </c>
      <c r="E160" s="32" t="s">
        <v>220</v>
      </c>
      <c r="F160" s="32" t="s">
        <v>670</v>
      </c>
      <c r="G160" s="33">
        <v>2034</v>
      </c>
      <c r="H160" s="34">
        <v>40077</v>
      </c>
      <c r="I160" t="s">
        <v>644</v>
      </c>
      <c r="J160" s="30" t="s">
        <v>645</v>
      </c>
    </row>
    <row r="161" spans="1:10" ht="12.75" customHeight="1" x14ac:dyDescent="0.2">
      <c r="A161" s="32" t="s">
        <v>671</v>
      </c>
      <c r="B161" s="32" t="s">
        <v>672</v>
      </c>
      <c r="C161" s="32" t="s">
        <v>642</v>
      </c>
      <c r="D161" s="32" t="s">
        <v>226</v>
      </c>
      <c r="E161" s="32" t="s">
        <v>340</v>
      </c>
      <c r="F161" s="32" t="s">
        <v>340</v>
      </c>
      <c r="G161" s="33">
        <v>1606.55</v>
      </c>
      <c r="H161" s="34">
        <v>33737</v>
      </c>
      <c r="I161" t="s">
        <v>644</v>
      </c>
      <c r="J161" s="30" t="s">
        <v>645</v>
      </c>
    </row>
    <row r="162" spans="1:10" ht="12.75" customHeight="1" x14ac:dyDescent="0.2">
      <c r="A162" s="32" t="s">
        <v>673</v>
      </c>
      <c r="B162" s="32" t="s">
        <v>674</v>
      </c>
      <c r="C162" s="32" t="s">
        <v>661</v>
      </c>
      <c r="D162" s="32" t="s">
        <v>219</v>
      </c>
      <c r="E162" s="32" t="s">
        <v>220</v>
      </c>
      <c r="F162" s="32" t="s">
        <v>675</v>
      </c>
      <c r="G162" s="33">
        <v>2034</v>
      </c>
      <c r="H162" s="34">
        <v>40665</v>
      </c>
      <c r="I162" t="s">
        <v>644</v>
      </c>
      <c r="J162" s="30" t="s">
        <v>645</v>
      </c>
    </row>
    <row r="163" spans="1:10" ht="12.75" customHeight="1" x14ac:dyDescent="0.2">
      <c r="A163" s="32" t="s">
        <v>676</v>
      </c>
      <c r="B163" s="32" t="s">
        <v>677</v>
      </c>
      <c r="C163" s="32" t="s">
        <v>661</v>
      </c>
      <c r="D163" s="32" t="s">
        <v>219</v>
      </c>
      <c r="E163" s="32" t="s">
        <v>220</v>
      </c>
      <c r="F163" s="32" t="s">
        <v>678</v>
      </c>
      <c r="G163" s="33">
        <v>2034</v>
      </c>
      <c r="H163" s="34">
        <v>40060</v>
      </c>
      <c r="I163" t="s">
        <v>644</v>
      </c>
      <c r="J163" s="30" t="s">
        <v>645</v>
      </c>
    </row>
    <row r="164" spans="1:10" ht="12.75" customHeight="1" x14ac:dyDescent="0.2">
      <c r="A164" s="32" t="s">
        <v>679</v>
      </c>
      <c r="B164" s="32" t="s">
        <v>680</v>
      </c>
      <c r="C164" s="32" t="s">
        <v>642</v>
      </c>
      <c r="D164" s="32" t="s">
        <v>219</v>
      </c>
      <c r="E164" s="32" t="s">
        <v>260</v>
      </c>
      <c r="F164" s="32" t="s">
        <v>643</v>
      </c>
      <c r="G164" s="33">
        <v>733</v>
      </c>
      <c r="H164" s="34">
        <v>42917</v>
      </c>
      <c r="I164" t="s">
        <v>644</v>
      </c>
      <c r="J164" s="30" t="s">
        <v>645</v>
      </c>
    </row>
    <row r="165" spans="1:10" ht="12.75" customHeight="1" x14ac:dyDescent="0.2">
      <c r="A165" s="32" t="s">
        <v>681</v>
      </c>
      <c r="B165" s="32" t="s">
        <v>682</v>
      </c>
      <c r="C165" s="32" t="s">
        <v>683</v>
      </c>
      <c r="D165" s="32" t="s">
        <v>219</v>
      </c>
      <c r="E165" s="32" t="s">
        <v>336</v>
      </c>
      <c r="F165" s="32" t="s">
        <v>684</v>
      </c>
      <c r="G165" s="33">
        <v>2308</v>
      </c>
      <c r="H165" s="34">
        <v>41935</v>
      </c>
      <c r="I165" t="s">
        <v>644</v>
      </c>
      <c r="J165" s="30" t="s">
        <v>645</v>
      </c>
    </row>
    <row r="166" spans="1:10" ht="12.75" customHeight="1" x14ac:dyDescent="0.2">
      <c r="A166" s="32" t="s">
        <v>685</v>
      </c>
      <c r="B166" s="32" t="s">
        <v>686</v>
      </c>
      <c r="C166" s="32" t="s">
        <v>652</v>
      </c>
      <c r="D166" s="32" t="s">
        <v>219</v>
      </c>
      <c r="E166" s="32" t="s">
        <v>220</v>
      </c>
      <c r="F166" s="32" t="s">
        <v>687</v>
      </c>
      <c r="G166" s="33">
        <v>2034</v>
      </c>
      <c r="H166" s="34">
        <v>42157</v>
      </c>
      <c r="I166" t="s">
        <v>644</v>
      </c>
      <c r="J166" s="30" t="s">
        <v>645</v>
      </c>
    </row>
    <row r="167" spans="1:10" ht="12.75" customHeight="1" x14ac:dyDescent="0.2">
      <c r="A167" s="32" t="s">
        <v>688</v>
      </c>
      <c r="B167" s="32" t="s">
        <v>689</v>
      </c>
      <c r="C167" s="32" t="s">
        <v>642</v>
      </c>
      <c r="D167" s="32" t="s">
        <v>219</v>
      </c>
      <c r="E167" s="32" t="s">
        <v>260</v>
      </c>
      <c r="F167" s="32" t="s">
        <v>643</v>
      </c>
      <c r="G167" s="33">
        <v>817</v>
      </c>
      <c r="H167" s="34">
        <v>43221</v>
      </c>
      <c r="I167" t="s">
        <v>644</v>
      </c>
      <c r="J167" s="30" t="s">
        <v>645</v>
      </c>
    </row>
    <row r="168" spans="1:10" ht="12.75" customHeight="1" x14ac:dyDescent="0.2">
      <c r="A168" s="32" t="s">
        <v>690</v>
      </c>
      <c r="B168" s="32" t="s">
        <v>691</v>
      </c>
      <c r="C168" s="32" t="s">
        <v>661</v>
      </c>
      <c r="D168" s="32" t="s">
        <v>226</v>
      </c>
      <c r="E168" s="32" t="s">
        <v>692</v>
      </c>
      <c r="F168" s="32" t="s">
        <v>692</v>
      </c>
      <c r="G168" s="33">
        <v>2093.37</v>
      </c>
      <c r="H168" s="34">
        <v>30904</v>
      </c>
      <c r="I168" t="s">
        <v>644</v>
      </c>
      <c r="J168" s="30" t="s">
        <v>645</v>
      </c>
    </row>
    <row r="169" spans="1:10" ht="12.75" customHeight="1" x14ac:dyDescent="0.2">
      <c r="A169" s="32" t="s">
        <v>693</v>
      </c>
      <c r="B169" s="32" t="s">
        <v>694</v>
      </c>
      <c r="C169" s="32" t="s">
        <v>661</v>
      </c>
      <c r="D169" s="32" t="s">
        <v>219</v>
      </c>
      <c r="E169" s="32" t="s">
        <v>220</v>
      </c>
      <c r="F169" s="32" t="s">
        <v>675</v>
      </c>
      <c r="G169" s="33">
        <v>2034</v>
      </c>
      <c r="H169" s="34">
        <v>41821</v>
      </c>
      <c r="I169" t="s">
        <v>644</v>
      </c>
      <c r="J169" s="30" t="s">
        <v>645</v>
      </c>
    </row>
    <row r="170" spans="1:10" ht="12.75" customHeight="1" x14ac:dyDescent="0.2">
      <c r="A170" s="32" t="s">
        <v>695</v>
      </c>
      <c r="B170" s="32" t="s">
        <v>696</v>
      </c>
      <c r="C170" s="32" t="s">
        <v>652</v>
      </c>
      <c r="D170" s="32" t="s">
        <v>219</v>
      </c>
      <c r="E170" s="32" t="s">
        <v>233</v>
      </c>
      <c r="F170" s="32" t="s">
        <v>697</v>
      </c>
      <c r="G170" s="33">
        <v>1760</v>
      </c>
      <c r="H170" s="34">
        <v>42979</v>
      </c>
      <c r="I170" t="s">
        <v>644</v>
      </c>
      <c r="J170" s="30" t="s">
        <v>645</v>
      </c>
    </row>
    <row r="171" spans="1:10" ht="12.75" customHeight="1" x14ac:dyDescent="0.2">
      <c r="A171" s="32" t="s">
        <v>698</v>
      </c>
      <c r="B171" s="32" t="s">
        <v>699</v>
      </c>
      <c r="C171" s="32" t="s">
        <v>652</v>
      </c>
      <c r="D171" s="32" t="s">
        <v>588</v>
      </c>
      <c r="E171" s="32" t="s">
        <v>279</v>
      </c>
      <c r="F171" s="32" t="s">
        <v>700</v>
      </c>
      <c r="G171" s="33">
        <v>1676</v>
      </c>
      <c r="H171" s="34">
        <v>40190</v>
      </c>
      <c r="I171" t="s">
        <v>644</v>
      </c>
      <c r="J171" s="30" t="s">
        <v>645</v>
      </c>
    </row>
    <row r="172" spans="1:10" ht="12.75" customHeight="1" x14ac:dyDescent="0.2">
      <c r="A172" s="32" t="s">
        <v>701</v>
      </c>
      <c r="B172" s="32" t="s">
        <v>702</v>
      </c>
      <c r="C172" s="32" t="s">
        <v>652</v>
      </c>
      <c r="D172" s="32" t="s">
        <v>588</v>
      </c>
      <c r="E172" s="32" t="s">
        <v>220</v>
      </c>
      <c r="F172" s="32" t="s">
        <v>653</v>
      </c>
      <c r="G172" s="33">
        <v>2034</v>
      </c>
      <c r="H172" s="34">
        <v>42948</v>
      </c>
      <c r="I172" t="s">
        <v>644</v>
      </c>
      <c r="J172" s="30" t="s">
        <v>645</v>
      </c>
    </row>
    <row r="173" spans="1:10" ht="12.75" customHeight="1" x14ac:dyDescent="0.2">
      <c r="A173" s="32" t="s">
        <v>703</v>
      </c>
      <c r="B173" s="32" t="s">
        <v>704</v>
      </c>
      <c r="C173" s="32" t="s">
        <v>683</v>
      </c>
      <c r="D173" s="32" t="s">
        <v>219</v>
      </c>
      <c r="E173" s="32" t="s">
        <v>233</v>
      </c>
      <c r="F173" s="32" t="s">
        <v>705</v>
      </c>
      <c r="G173" s="33">
        <v>1760</v>
      </c>
      <c r="H173" s="34">
        <v>40186</v>
      </c>
      <c r="I173" t="s">
        <v>644</v>
      </c>
      <c r="J173" s="30" t="s">
        <v>645</v>
      </c>
    </row>
    <row r="174" spans="1:10" ht="12.75" customHeight="1" x14ac:dyDescent="0.2">
      <c r="A174" s="32" t="s">
        <v>706</v>
      </c>
      <c r="B174" s="32" t="s">
        <v>707</v>
      </c>
      <c r="C174" s="32" t="s">
        <v>708</v>
      </c>
      <c r="D174" s="32" t="s">
        <v>219</v>
      </c>
      <c r="E174" s="32" t="s">
        <v>220</v>
      </c>
      <c r="F174" s="32" t="s">
        <v>709</v>
      </c>
      <c r="G174" s="33">
        <v>2034</v>
      </c>
      <c r="H174" s="34">
        <v>42887</v>
      </c>
      <c r="I174" t="s">
        <v>644</v>
      </c>
      <c r="J174" s="30" t="s">
        <v>645</v>
      </c>
    </row>
    <row r="175" spans="1:10" ht="12.75" customHeight="1" x14ac:dyDescent="0.2">
      <c r="A175" s="32" t="s">
        <v>710</v>
      </c>
      <c r="B175" s="32" t="s">
        <v>711</v>
      </c>
      <c r="C175" s="32" t="s">
        <v>652</v>
      </c>
      <c r="D175" s="32" t="s">
        <v>219</v>
      </c>
      <c r="E175" s="32" t="s">
        <v>233</v>
      </c>
      <c r="F175" s="32" t="s">
        <v>697</v>
      </c>
      <c r="G175" s="33">
        <v>1760</v>
      </c>
      <c r="H175" s="34">
        <v>41106</v>
      </c>
      <c r="I175" t="s">
        <v>644</v>
      </c>
      <c r="J175" s="30" t="s">
        <v>645</v>
      </c>
    </row>
    <row r="176" spans="1:10" ht="12.75" customHeight="1" x14ac:dyDescent="0.2">
      <c r="A176" s="32" t="s">
        <v>712</v>
      </c>
      <c r="B176" s="32" t="s">
        <v>713</v>
      </c>
      <c r="C176" s="32" t="s">
        <v>642</v>
      </c>
      <c r="D176" s="32" t="s">
        <v>219</v>
      </c>
      <c r="E176" s="32" t="s">
        <v>260</v>
      </c>
      <c r="F176" s="32" t="s">
        <v>643</v>
      </c>
      <c r="G176" s="33">
        <v>817</v>
      </c>
      <c r="H176" s="34">
        <v>42948</v>
      </c>
      <c r="I176" t="s">
        <v>644</v>
      </c>
      <c r="J176" s="30" t="s">
        <v>645</v>
      </c>
    </row>
    <row r="177" spans="1:10" ht="12.75" customHeight="1" x14ac:dyDescent="0.2">
      <c r="A177" s="32" t="s">
        <v>714</v>
      </c>
      <c r="B177" s="32" t="s">
        <v>715</v>
      </c>
      <c r="C177" s="32" t="s">
        <v>661</v>
      </c>
      <c r="D177" s="32" t="s">
        <v>226</v>
      </c>
      <c r="E177" s="32" t="s">
        <v>716</v>
      </c>
      <c r="F177" s="32" t="s">
        <v>716</v>
      </c>
      <c r="G177" s="33">
        <v>1800.26</v>
      </c>
      <c r="H177" s="34">
        <v>32835</v>
      </c>
      <c r="I177" t="s">
        <v>644</v>
      </c>
      <c r="J177" s="30" t="s">
        <v>645</v>
      </c>
    </row>
    <row r="178" spans="1:10" ht="12.75" customHeight="1" x14ac:dyDescent="0.2">
      <c r="A178" s="32" t="s">
        <v>717</v>
      </c>
      <c r="B178" s="32" t="s">
        <v>718</v>
      </c>
      <c r="C178" s="32" t="s">
        <v>719</v>
      </c>
      <c r="D178" s="32" t="s">
        <v>226</v>
      </c>
      <c r="E178" s="32" t="s">
        <v>241</v>
      </c>
      <c r="F178" s="32" t="s">
        <v>241</v>
      </c>
      <c r="G178" s="33">
        <v>2037.76</v>
      </c>
      <c r="H178" s="34">
        <v>33183</v>
      </c>
      <c r="I178" t="s">
        <v>644</v>
      </c>
      <c r="J178" s="30" t="s">
        <v>645</v>
      </c>
    </row>
    <row r="179" spans="1:10" ht="12.75" customHeight="1" x14ac:dyDescent="0.2">
      <c r="A179" s="32" t="s">
        <v>720</v>
      </c>
      <c r="B179" s="32" t="s">
        <v>721</v>
      </c>
      <c r="C179" s="32" t="s">
        <v>642</v>
      </c>
      <c r="D179" s="32" t="s">
        <v>219</v>
      </c>
      <c r="E179" s="32" t="s">
        <v>260</v>
      </c>
      <c r="F179" s="32" t="s">
        <v>643</v>
      </c>
      <c r="G179" s="33">
        <v>817</v>
      </c>
      <c r="H179" s="34">
        <v>43009</v>
      </c>
      <c r="I179" t="s">
        <v>644</v>
      </c>
      <c r="J179" s="30" t="s">
        <v>645</v>
      </c>
    </row>
    <row r="180" spans="1:10" ht="12.75" customHeight="1" x14ac:dyDescent="0.2">
      <c r="A180" s="32" t="s">
        <v>722</v>
      </c>
      <c r="B180" s="32" t="s">
        <v>723</v>
      </c>
      <c r="C180" s="32" t="s">
        <v>683</v>
      </c>
      <c r="D180" s="32" t="s">
        <v>226</v>
      </c>
      <c r="E180" s="32" t="s">
        <v>724</v>
      </c>
      <c r="F180" s="32" t="s">
        <v>724</v>
      </c>
      <c r="G180" s="33">
        <v>3063.24</v>
      </c>
      <c r="H180" s="34">
        <v>36404</v>
      </c>
      <c r="I180" t="s">
        <v>644</v>
      </c>
      <c r="J180" s="30" t="s">
        <v>645</v>
      </c>
    </row>
    <row r="181" spans="1:10" ht="12.75" customHeight="1" x14ac:dyDescent="0.2">
      <c r="A181" s="32" t="s">
        <v>725</v>
      </c>
      <c r="B181" s="32" t="s">
        <v>726</v>
      </c>
      <c r="C181" s="32" t="s">
        <v>642</v>
      </c>
      <c r="D181" s="32" t="s">
        <v>226</v>
      </c>
      <c r="E181" s="32" t="s">
        <v>326</v>
      </c>
      <c r="F181" s="32" t="s">
        <v>326</v>
      </c>
      <c r="G181" s="33">
        <v>1750.07</v>
      </c>
      <c r="H181" s="34">
        <v>33939</v>
      </c>
      <c r="I181" t="s">
        <v>644</v>
      </c>
      <c r="J181" s="30" t="s">
        <v>645</v>
      </c>
    </row>
    <row r="182" spans="1:10" ht="12.75" customHeight="1" x14ac:dyDescent="0.2">
      <c r="A182" s="32" t="s">
        <v>727</v>
      </c>
      <c r="B182" s="32" t="s">
        <v>728</v>
      </c>
      <c r="C182" s="32" t="s">
        <v>642</v>
      </c>
      <c r="D182" s="32" t="s">
        <v>226</v>
      </c>
      <c r="E182" s="32" t="s">
        <v>244</v>
      </c>
      <c r="F182" s="32" t="s">
        <v>244</v>
      </c>
      <c r="G182" s="33">
        <v>2539.4899999999998</v>
      </c>
      <c r="H182" s="34">
        <v>29808</v>
      </c>
      <c r="I182" t="s">
        <v>644</v>
      </c>
      <c r="J182" s="30" t="s">
        <v>645</v>
      </c>
    </row>
    <row r="183" spans="1:10" ht="12.75" customHeight="1" x14ac:dyDescent="0.2">
      <c r="A183" s="32" t="s">
        <v>729</v>
      </c>
      <c r="B183" s="32" t="s">
        <v>730</v>
      </c>
      <c r="C183" s="32" t="s">
        <v>683</v>
      </c>
      <c r="D183" s="32" t="s">
        <v>219</v>
      </c>
      <c r="E183" s="32" t="s">
        <v>233</v>
      </c>
      <c r="F183" s="32" t="s">
        <v>705</v>
      </c>
      <c r="G183" s="33">
        <v>1760</v>
      </c>
      <c r="H183" s="34">
        <v>42948</v>
      </c>
      <c r="I183" t="s">
        <v>644</v>
      </c>
      <c r="J183" s="30" t="s">
        <v>645</v>
      </c>
    </row>
    <row r="184" spans="1:10" ht="12.75" customHeight="1" x14ac:dyDescent="0.2">
      <c r="A184" s="32" t="s">
        <v>731</v>
      </c>
      <c r="B184" s="32" t="s">
        <v>732</v>
      </c>
      <c r="C184" s="32" t="s">
        <v>733</v>
      </c>
      <c r="D184" s="32" t="s">
        <v>219</v>
      </c>
      <c r="E184" s="32" t="s">
        <v>269</v>
      </c>
      <c r="F184" s="32" t="s">
        <v>734</v>
      </c>
      <c r="G184" s="33">
        <v>1412</v>
      </c>
      <c r="H184" s="34">
        <v>42053</v>
      </c>
      <c r="I184" t="s">
        <v>735</v>
      </c>
      <c r="J184" s="30" t="s">
        <v>736</v>
      </c>
    </row>
    <row r="185" spans="1:10" ht="12.75" customHeight="1" x14ac:dyDescent="0.2">
      <c r="A185" s="32" t="s">
        <v>737</v>
      </c>
      <c r="B185" s="32" t="s">
        <v>738</v>
      </c>
      <c r="C185" s="32" t="s">
        <v>739</v>
      </c>
      <c r="D185" s="32" t="s">
        <v>219</v>
      </c>
      <c r="E185" s="32" t="s">
        <v>269</v>
      </c>
      <c r="F185" s="32" t="s">
        <v>740</v>
      </c>
      <c r="G185" s="33">
        <v>1412</v>
      </c>
      <c r="H185" s="34">
        <v>41815</v>
      </c>
      <c r="I185" t="s">
        <v>735</v>
      </c>
      <c r="J185" s="30" t="s">
        <v>736</v>
      </c>
    </row>
    <row r="186" spans="1:10" ht="12.75" customHeight="1" x14ac:dyDescent="0.2">
      <c r="A186" s="32" t="s">
        <v>741</v>
      </c>
      <c r="B186" s="32" t="s">
        <v>742</v>
      </c>
      <c r="C186" s="32" t="s">
        <v>739</v>
      </c>
      <c r="D186" s="32" t="s">
        <v>219</v>
      </c>
      <c r="E186" s="32" t="s">
        <v>279</v>
      </c>
      <c r="F186" s="32" t="s">
        <v>743</v>
      </c>
      <c r="G186" s="33">
        <v>1676</v>
      </c>
      <c r="H186" s="34">
        <v>41122</v>
      </c>
      <c r="I186" t="s">
        <v>735</v>
      </c>
      <c r="J186" s="30" t="s">
        <v>736</v>
      </c>
    </row>
    <row r="187" spans="1:10" ht="12.75" customHeight="1" x14ac:dyDescent="0.2">
      <c r="A187" s="32" t="s">
        <v>744</v>
      </c>
      <c r="B187" s="32" t="s">
        <v>745</v>
      </c>
      <c r="C187" s="32" t="s">
        <v>739</v>
      </c>
      <c r="D187" s="32" t="s">
        <v>219</v>
      </c>
      <c r="E187" s="32" t="s">
        <v>269</v>
      </c>
      <c r="F187" s="32" t="s">
        <v>740</v>
      </c>
      <c r="G187" s="33">
        <v>1412</v>
      </c>
      <c r="H187" s="34">
        <v>40665</v>
      </c>
      <c r="I187" t="s">
        <v>735</v>
      </c>
      <c r="J187" s="30" t="s">
        <v>736</v>
      </c>
    </row>
    <row r="188" spans="1:10" ht="12.75" customHeight="1" x14ac:dyDescent="0.2">
      <c r="A188" s="32" t="s">
        <v>746</v>
      </c>
      <c r="B188" s="32" t="s">
        <v>747</v>
      </c>
      <c r="C188" s="32" t="s">
        <v>739</v>
      </c>
      <c r="D188" s="32" t="s">
        <v>219</v>
      </c>
      <c r="E188" s="32" t="s">
        <v>489</v>
      </c>
      <c r="F188" s="32" t="s">
        <v>748</v>
      </c>
      <c r="G188" s="33">
        <v>1086</v>
      </c>
      <c r="H188" s="34">
        <v>41334</v>
      </c>
      <c r="I188" t="s">
        <v>735</v>
      </c>
      <c r="J188" s="30" t="s">
        <v>736</v>
      </c>
    </row>
    <row r="189" spans="1:10" ht="12.75" customHeight="1" x14ac:dyDescent="0.2">
      <c r="A189" s="32" t="s">
        <v>749</v>
      </c>
      <c r="B189" s="32" t="s">
        <v>750</v>
      </c>
      <c r="C189" s="32" t="s">
        <v>733</v>
      </c>
      <c r="D189" s="32" t="s">
        <v>219</v>
      </c>
      <c r="E189" s="32" t="s">
        <v>279</v>
      </c>
      <c r="F189" s="32" t="s">
        <v>523</v>
      </c>
      <c r="G189" s="33">
        <v>1676</v>
      </c>
      <c r="H189" s="34">
        <v>41905</v>
      </c>
      <c r="I189" t="s">
        <v>735</v>
      </c>
      <c r="J189" s="30" t="s">
        <v>736</v>
      </c>
    </row>
    <row r="190" spans="1:10" ht="12.75" customHeight="1" x14ac:dyDescent="0.2">
      <c r="A190" s="32" t="s">
        <v>751</v>
      </c>
      <c r="B190" s="32" t="s">
        <v>752</v>
      </c>
      <c r="C190" s="32" t="s">
        <v>739</v>
      </c>
      <c r="D190" s="32" t="s">
        <v>219</v>
      </c>
      <c r="E190" s="32" t="s">
        <v>269</v>
      </c>
      <c r="F190" s="32" t="s">
        <v>734</v>
      </c>
      <c r="G190" s="33">
        <v>1412</v>
      </c>
      <c r="H190" s="34">
        <v>40665</v>
      </c>
      <c r="I190" t="s">
        <v>735</v>
      </c>
      <c r="J190" s="30" t="s">
        <v>736</v>
      </c>
    </row>
    <row r="191" spans="1:10" ht="12.75" customHeight="1" x14ac:dyDescent="0.2">
      <c r="A191" s="32" t="s">
        <v>753</v>
      </c>
      <c r="B191" s="32" t="s">
        <v>754</v>
      </c>
      <c r="C191" s="32" t="s">
        <v>733</v>
      </c>
      <c r="D191" s="32" t="s">
        <v>219</v>
      </c>
      <c r="E191" s="32" t="s">
        <v>279</v>
      </c>
      <c r="F191" s="32" t="s">
        <v>743</v>
      </c>
      <c r="G191" s="33">
        <v>1676</v>
      </c>
      <c r="H191" s="34">
        <v>42373</v>
      </c>
      <c r="I191" t="s">
        <v>735</v>
      </c>
      <c r="J191" s="30" t="s">
        <v>736</v>
      </c>
    </row>
    <row r="192" spans="1:10" ht="12.75" customHeight="1" x14ac:dyDescent="0.2">
      <c r="A192" s="32" t="s">
        <v>755</v>
      </c>
      <c r="B192" s="32" t="s">
        <v>756</v>
      </c>
      <c r="C192" s="32" t="s">
        <v>733</v>
      </c>
      <c r="D192" s="32" t="s">
        <v>219</v>
      </c>
      <c r="E192" s="32" t="s">
        <v>269</v>
      </c>
      <c r="F192" s="32" t="s">
        <v>734</v>
      </c>
      <c r="G192" s="33">
        <v>1412</v>
      </c>
      <c r="H192" s="34">
        <v>42917</v>
      </c>
      <c r="I192" t="s">
        <v>735</v>
      </c>
      <c r="J192" s="30" t="s">
        <v>736</v>
      </c>
    </row>
    <row r="193" spans="1:10" ht="12.75" customHeight="1" x14ac:dyDescent="0.2">
      <c r="A193" s="32" t="s">
        <v>757</v>
      </c>
      <c r="B193" s="32" t="s">
        <v>758</v>
      </c>
      <c r="C193" s="32" t="s">
        <v>733</v>
      </c>
      <c r="D193" s="32" t="s">
        <v>219</v>
      </c>
      <c r="E193" s="32" t="s">
        <v>394</v>
      </c>
      <c r="F193" s="32" t="s">
        <v>759</v>
      </c>
      <c r="G193" s="33">
        <v>1212</v>
      </c>
      <c r="H193" s="34">
        <v>42430</v>
      </c>
      <c r="I193" t="s">
        <v>735</v>
      </c>
      <c r="J193" s="30" t="s">
        <v>736</v>
      </c>
    </row>
    <row r="194" spans="1:10" ht="12.75" customHeight="1" x14ac:dyDescent="0.2">
      <c r="A194" s="32" t="s">
        <v>760</v>
      </c>
      <c r="B194" s="32" t="s">
        <v>761</v>
      </c>
      <c r="C194" s="32" t="s">
        <v>733</v>
      </c>
      <c r="D194" s="32" t="s">
        <v>219</v>
      </c>
      <c r="E194" s="32" t="s">
        <v>269</v>
      </c>
      <c r="F194" s="32" t="s">
        <v>762</v>
      </c>
      <c r="G194" s="33">
        <v>1412</v>
      </c>
      <c r="H194" s="34">
        <v>41309</v>
      </c>
      <c r="I194" t="s">
        <v>735</v>
      </c>
      <c r="J194" s="30" t="s">
        <v>736</v>
      </c>
    </row>
    <row r="195" spans="1:10" ht="12.75" customHeight="1" x14ac:dyDescent="0.2">
      <c r="A195" s="32" t="s">
        <v>763</v>
      </c>
      <c r="B195" s="32" t="s">
        <v>764</v>
      </c>
      <c r="C195" s="32" t="s">
        <v>765</v>
      </c>
      <c r="D195" s="32" t="s">
        <v>226</v>
      </c>
      <c r="E195" s="32" t="s">
        <v>514</v>
      </c>
      <c r="F195" s="32" t="s">
        <v>514</v>
      </c>
      <c r="G195" s="33">
        <v>1838.37</v>
      </c>
      <c r="H195" s="34">
        <v>32667</v>
      </c>
      <c r="I195" t="s">
        <v>735</v>
      </c>
      <c r="J195" s="30" t="s">
        <v>736</v>
      </c>
    </row>
    <row r="196" spans="1:10" ht="12.75" customHeight="1" x14ac:dyDescent="0.2">
      <c r="A196" s="32" t="s">
        <v>766</v>
      </c>
      <c r="B196" s="32" t="s">
        <v>767</v>
      </c>
      <c r="C196" s="32" t="s">
        <v>768</v>
      </c>
      <c r="D196" s="32" t="s">
        <v>219</v>
      </c>
      <c r="E196" s="32" t="s">
        <v>269</v>
      </c>
      <c r="F196" s="32" t="s">
        <v>769</v>
      </c>
      <c r="G196" s="33">
        <v>1412</v>
      </c>
      <c r="H196" s="34">
        <v>42917</v>
      </c>
      <c r="I196" t="s">
        <v>735</v>
      </c>
      <c r="J196" s="30" t="s">
        <v>736</v>
      </c>
    </row>
    <row r="197" spans="1:10" ht="12.75" customHeight="1" x14ac:dyDescent="0.2">
      <c r="A197" s="32" t="s">
        <v>770</v>
      </c>
      <c r="B197" s="32" t="s">
        <v>771</v>
      </c>
      <c r="C197" s="32" t="s">
        <v>733</v>
      </c>
      <c r="D197" s="32" t="s">
        <v>219</v>
      </c>
      <c r="E197" s="32" t="s">
        <v>269</v>
      </c>
      <c r="F197" s="32" t="s">
        <v>772</v>
      </c>
      <c r="G197" s="33">
        <v>1412</v>
      </c>
      <c r="H197" s="34">
        <v>42041</v>
      </c>
      <c r="I197" t="s">
        <v>735</v>
      </c>
      <c r="J197" s="30" t="s">
        <v>736</v>
      </c>
    </row>
    <row r="198" spans="1:10" ht="12.75" customHeight="1" x14ac:dyDescent="0.2">
      <c r="A198" s="32" t="s">
        <v>773</v>
      </c>
      <c r="B198" s="32" t="s">
        <v>774</v>
      </c>
      <c r="C198" s="32" t="s">
        <v>733</v>
      </c>
      <c r="D198" s="32" t="s">
        <v>219</v>
      </c>
      <c r="E198" s="32" t="s">
        <v>279</v>
      </c>
      <c r="F198" s="32" t="s">
        <v>523</v>
      </c>
      <c r="G198" s="33">
        <v>1676</v>
      </c>
      <c r="H198" s="34">
        <v>41808</v>
      </c>
      <c r="I198" t="s">
        <v>735</v>
      </c>
      <c r="J198" s="30" t="s">
        <v>736</v>
      </c>
    </row>
    <row r="199" spans="1:10" ht="12.75" customHeight="1" x14ac:dyDescent="0.2">
      <c r="A199" s="32" t="s">
        <v>775</v>
      </c>
      <c r="B199" s="32" t="s">
        <v>776</v>
      </c>
      <c r="C199" s="32" t="s">
        <v>739</v>
      </c>
      <c r="D199" s="32" t="s">
        <v>219</v>
      </c>
      <c r="E199" s="32" t="s">
        <v>220</v>
      </c>
      <c r="F199" s="32" t="s">
        <v>777</v>
      </c>
      <c r="G199" s="33">
        <v>2034</v>
      </c>
      <c r="H199" s="34">
        <v>41827</v>
      </c>
      <c r="I199" t="s">
        <v>735</v>
      </c>
      <c r="J199" s="30" t="s">
        <v>736</v>
      </c>
    </row>
    <row r="200" spans="1:10" ht="12.75" customHeight="1" x14ac:dyDescent="0.2">
      <c r="A200" s="32" t="s">
        <v>778</v>
      </c>
      <c r="B200" s="32" t="s">
        <v>779</v>
      </c>
      <c r="C200" s="32" t="s">
        <v>739</v>
      </c>
      <c r="D200" s="32" t="s">
        <v>219</v>
      </c>
      <c r="E200" s="32" t="s">
        <v>269</v>
      </c>
      <c r="F200" s="32" t="s">
        <v>734</v>
      </c>
      <c r="G200" s="33">
        <v>1412</v>
      </c>
      <c r="H200" s="34">
        <v>40665</v>
      </c>
      <c r="I200" t="s">
        <v>735</v>
      </c>
      <c r="J200" s="30" t="s">
        <v>736</v>
      </c>
    </row>
    <row r="201" spans="1:10" ht="12.75" customHeight="1" x14ac:dyDescent="0.2">
      <c r="A201" s="32" t="s">
        <v>780</v>
      </c>
      <c r="B201" s="32" t="s">
        <v>781</v>
      </c>
      <c r="C201" s="32" t="s">
        <v>739</v>
      </c>
      <c r="D201" s="32" t="s">
        <v>219</v>
      </c>
      <c r="E201" s="32" t="s">
        <v>269</v>
      </c>
      <c r="F201" s="32" t="s">
        <v>740</v>
      </c>
      <c r="G201" s="33">
        <v>1412</v>
      </c>
      <c r="H201" s="34">
        <v>41463</v>
      </c>
      <c r="I201" t="s">
        <v>735</v>
      </c>
      <c r="J201" s="30" t="s">
        <v>736</v>
      </c>
    </row>
    <row r="202" spans="1:10" ht="12.75" customHeight="1" x14ac:dyDescent="0.2">
      <c r="A202" s="32" t="s">
        <v>782</v>
      </c>
      <c r="B202" s="32" t="s">
        <v>783</v>
      </c>
      <c r="C202" s="32" t="s">
        <v>733</v>
      </c>
      <c r="D202" s="32" t="s">
        <v>219</v>
      </c>
      <c r="E202" s="32" t="s">
        <v>279</v>
      </c>
      <c r="F202" s="32" t="s">
        <v>743</v>
      </c>
      <c r="G202" s="33">
        <v>1676</v>
      </c>
      <c r="H202" s="34">
        <v>41487</v>
      </c>
      <c r="I202" t="s">
        <v>735</v>
      </c>
      <c r="J202" s="30" t="s">
        <v>736</v>
      </c>
    </row>
    <row r="203" spans="1:10" ht="12.75" customHeight="1" x14ac:dyDescent="0.2">
      <c r="A203" s="32" t="s">
        <v>784</v>
      </c>
      <c r="B203" s="32" t="s">
        <v>785</v>
      </c>
      <c r="C203" s="32" t="s">
        <v>733</v>
      </c>
      <c r="D203" s="32" t="s">
        <v>219</v>
      </c>
      <c r="E203" s="32" t="s">
        <v>394</v>
      </c>
      <c r="F203" s="32" t="s">
        <v>786</v>
      </c>
      <c r="G203" s="33">
        <v>1212</v>
      </c>
      <c r="H203" s="34">
        <v>42046</v>
      </c>
      <c r="I203" t="s">
        <v>735</v>
      </c>
      <c r="J203" s="30" t="s">
        <v>736</v>
      </c>
    </row>
    <row r="204" spans="1:10" ht="12.75" customHeight="1" x14ac:dyDescent="0.2">
      <c r="A204" s="32" t="s">
        <v>787</v>
      </c>
      <c r="B204" s="32" t="s">
        <v>788</v>
      </c>
      <c r="C204" s="32" t="s">
        <v>733</v>
      </c>
      <c r="D204" s="32" t="s">
        <v>219</v>
      </c>
      <c r="E204" s="32" t="s">
        <v>394</v>
      </c>
      <c r="F204" s="32" t="s">
        <v>759</v>
      </c>
      <c r="G204" s="33">
        <v>1212</v>
      </c>
      <c r="H204" s="34">
        <v>42430</v>
      </c>
      <c r="I204" t="s">
        <v>735</v>
      </c>
      <c r="J204" s="30" t="s">
        <v>736</v>
      </c>
    </row>
    <row r="205" spans="1:10" ht="12.75" customHeight="1" x14ac:dyDescent="0.2">
      <c r="A205" s="32" t="s">
        <v>789</v>
      </c>
      <c r="B205" s="32" t="s">
        <v>790</v>
      </c>
      <c r="C205" s="32" t="s">
        <v>739</v>
      </c>
      <c r="D205" s="32" t="s">
        <v>219</v>
      </c>
      <c r="E205" s="32" t="s">
        <v>279</v>
      </c>
      <c r="F205" s="32" t="s">
        <v>743</v>
      </c>
      <c r="G205" s="33">
        <v>1676</v>
      </c>
      <c r="H205" s="34">
        <v>42705</v>
      </c>
      <c r="I205" t="s">
        <v>735</v>
      </c>
      <c r="J205" s="30" t="s">
        <v>736</v>
      </c>
    </row>
    <row r="206" spans="1:10" ht="12.75" customHeight="1" x14ac:dyDescent="0.2">
      <c r="A206" s="32" t="s">
        <v>791</v>
      </c>
      <c r="B206" s="32" t="s">
        <v>792</v>
      </c>
      <c r="C206" s="32" t="s">
        <v>733</v>
      </c>
      <c r="D206" s="32" t="s">
        <v>219</v>
      </c>
      <c r="E206" s="32" t="s">
        <v>269</v>
      </c>
      <c r="F206" s="32" t="s">
        <v>769</v>
      </c>
      <c r="G206" s="33">
        <v>1412</v>
      </c>
      <c r="H206" s="34">
        <v>40665</v>
      </c>
      <c r="I206" t="s">
        <v>735</v>
      </c>
      <c r="J206" s="30" t="s">
        <v>736</v>
      </c>
    </row>
    <row r="207" spans="1:10" ht="12.75" customHeight="1" x14ac:dyDescent="0.2">
      <c r="A207" s="32" t="s">
        <v>793</v>
      </c>
      <c r="B207" s="32" t="s">
        <v>794</v>
      </c>
      <c r="C207" s="32" t="s">
        <v>739</v>
      </c>
      <c r="D207" s="32" t="s">
        <v>219</v>
      </c>
      <c r="E207" s="32" t="s">
        <v>279</v>
      </c>
      <c r="F207" s="32" t="s">
        <v>743</v>
      </c>
      <c r="G207" s="33">
        <v>1676</v>
      </c>
      <c r="H207" s="34">
        <v>40122</v>
      </c>
      <c r="I207" t="s">
        <v>735</v>
      </c>
      <c r="J207" s="30" t="s">
        <v>736</v>
      </c>
    </row>
    <row r="208" spans="1:10" ht="12.75" customHeight="1" x14ac:dyDescent="0.2">
      <c r="A208" s="32" t="s">
        <v>795</v>
      </c>
      <c r="B208" s="32" t="s">
        <v>796</v>
      </c>
      <c r="C208" s="32" t="s">
        <v>765</v>
      </c>
      <c r="D208" s="32" t="s">
        <v>219</v>
      </c>
      <c r="E208" s="32" t="s">
        <v>279</v>
      </c>
      <c r="F208" s="32" t="s">
        <v>797</v>
      </c>
      <c r="G208" s="33">
        <v>1676</v>
      </c>
      <c r="H208" s="34">
        <v>43282</v>
      </c>
      <c r="I208" t="s">
        <v>735</v>
      </c>
      <c r="J208" s="30" t="s">
        <v>736</v>
      </c>
    </row>
    <row r="209" spans="1:10" ht="12.75" customHeight="1" x14ac:dyDescent="0.2">
      <c r="A209" s="32" t="s">
        <v>798</v>
      </c>
      <c r="B209" s="32" t="s">
        <v>799</v>
      </c>
      <c r="C209" s="32" t="s">
        <v>733</v>
      </c>
      <c r="D209" s="32" t="s">
        <v>219</v>
      </c>
      <c r="E209" s="32" t="s">
        <v>279</v>
      </c>
      <c r="F209" s="32" t="s">
        <v>523</v>
      </c>
      <c r="G209" s="33">
        <v>1676</v>
      </c>
      <c r="H209" s="34">
        <v>41813</v>
      </c>
      <c r="I209" t="s">
        <v>735</v>
      </c>
      <c r="J209" s="30" t="s">
        <v>736</v>
      </c>
    </row>
    <row r="210" spans="1:10" ht="12.75" customHeight="1" x14ac:dyDescent="0.2">
      <c r="A210" s="32" t="s">
        <v>800</v>
      </c>
      <c r="B210" s="32" t="s">
        <v>801</v>
      </c>
      <c r="C210" s="32" t="s">
        <v>733</v>
      </c>
      <c r="D210" s="32" t="s">
        <v>219</v>
      </c>
      <c r="E210" s="32" t="s">
        <v>269</v>
      </c>
      <c r="F210" s="32" t="s">
        <v>802</v>
      </c>
      <c r="G210" s="33">
        <v>1412</v>
      </c>
      <c r="H210" s="34">
        <v>41323</v>
      </c>
      <c r="I210" t="s">
        <v>735</v>
      </c>
      <c r="J210" s="30" t="s">
        <v>736</v>
      </c>
    </row>
    <row r="211" spans="1:10" ht="12.75" customHeight="1" x14ac:dyDescent="0.2">
      <c r="A211" s="32" t="s">
        <v>803</v>
      </c>
      <c r="B211" s="32" t="s">
        <v>804</v>
      </c>
      <c r="C211" s="32" t="s">
        <v>739</v>
      </c>
      <c r="D211" s="32" t="s">
        <v>219</v>
      </c>
      <c r="E211" s="32" t="s">
        <v>394</v>
      </c>
      <c r="F211" s="32" t="s">
        <v>805</v>
      </c>
      <c r="G211" s="33">
        <v>1212</v>
      </c>
      <c r="H211" s="34">
        <v>42632</v>
      </c>
      <c r="I211" t="s">
        <v>735</v>
      </c>
      <c r="J211" s="30" t="s">
        <v>736</v>
      </c>
    </row>
    <row r="212" spans="1:10" ht="12.75" customHeight="1" x14ac:dyDescent="0.2">
      <c r="A212" s="32" t="s">
        <v>806</v>
      </c>
      <c r="B212" s="32" t="s">
        <v>807</v>
      </c>
      <c r="C212" s="32" t="s">
        <v>733</v>
      </c>
      <c r="D212" s="32" t="s">
        <v>219</v>
      </c>
      <c r="E212" s="32" t="s">
        <v>580</v>
      </c>
      <c r="F212" s="32" t="s">
        <v>808</v>
      </c>
      <c r="G212" s="33">
        <v>2641</v>
      </c>
      <c r="H212" s="34">
        <v>37775</v>
      </c>
      <c r="I212" t="s">
        <v>735</v>
      </c>
      <c r="J212" s="30" t="s">
        <v>736</v>
      </c>
    </row>
    <row r="213" spans="1:10" ht="12.75" customHeight="1" x14ac:dyDescent="0.2">
      <c r="A213" s="32" t="s">
        <v>809</v>
      </c>
      <c r="B213" s="32" t="s">
        <v>810</v>
      </c>
      <c r="C213" s="32" t="s">
        <v>733</v>
      </c>
      <c r="D213" s="32" t="s">
        <v>219</v>
      </c>
      <c r="E213" s="32" t="s">
        <v>260</v>
      </c>
      <c r="F213" s="32" t="s">
        <v>811</v>
      </c>
      <c r="G213" s="33">
        <v>817</v>
      </c>
      <c r="H213" s="34">
        <v>43101</v>
      </c>
      <c r="I213" t="s">
        <v>735</v>
      </c>
      <c r="J213" s="30" t="s">
        <v>736</v>
      </c>
    </row>
    <row r="214" spans="1:10" ht="12.75" customHeight="1" x14ac:dyDescent="0.2">
      <c r="A214" s="32" t="s">
        <v>812</v>
      </c>
      <c r="B214" s="32" t="s">
        <v>813</v>
      </c>
      <c r="C214" s="32" t="s">
        <v>739</v>
      </c>
      <c r="D214" s="32" t="s">
        <v>226</v>
      </c>
      <c r="E214" s="32" t="s">
        <v>814</v>
      </c>
      <c r="F214" s="32" t="s">
        <v>814</v>
      </c>
      <c r="G214" s="33">
        <v>2495</v>
      </c>
      <c r="H214" s="34">
        <v>33826</v>
      </c>
      <c r="I214" t="s">
        <v>735</v>
      </c>
      <c r="J214" s="30" t="s">
        <v>736</v>
      </c>
    </row>
    <row r="215" spans="1:10" ht="12.75" customHeight="1" x14ac:dyDescent="0.2">
      <c r="A215" s="32" t="s">
        <v>815</v>
      </c>
      <c r="B215" s="32" t="s">
        <v>816</v>
      </c>
      <c r="C215" s="32" t="s">
        <v>733</v>
      </c>
      <c r="D215" s="32" t="s">
        <v>219</v>
      </c>
      <c r="E215" s="32" t="s">
        <v>394</v>
      </c>
      <c r="F215" s="32" t="s">
        <v>759</v>
      </c>
      <c r="G215" s="33">
        <v>1212</v>
      </c>
      <c r="H215" s="34">
        <v>43101</v>
      </c>
      <c r="I215" t="s">
        <v>735</v>
      </c>
      <c r="J215" s="30" t="s">
        <v>736</v>
      </c>
    </row>
    <row r="216" spans="1:10" ht="12.75" customHeight="1" x14ac:dyDescent="0.2">
      <c r="A216" s="32" t="s">
        <v>817</v>
      </c>
      <c r="B216" s="32" t="s">
        <v>818</v>
      </c>
      <c r="C216" s="32" t="s">
        <v>733</v>
      </c>
      <c r="D216" s="32" t="s">
        <v>219</v>
      </c>
      <c r="E216" s="32" t="s">
        <v>394</v>
      </c>
      <c r="F216" s="32" t="s">
        <v>759</v>
      </c>
      <c r="G216" s="33">
        <v>1212</v>
      </c>
      <c r="H216" s="34">
        <v>41456</v>
      </c>
      <c r="I216" t="s">
        <v>735</v>
      </c>
      <c r="J216" s="30" t="s">
        <v>736</v>
      </c>
    </row>
    <row r="217" spans="1:10" ht="12.75" customHeight="1" x14ac:dyDescent="0.2">
      <c r="A217" s="32" t="s">
        <v>819</v>
      </c>
      <c r="B217" s="32" t="s">
        <v>820</v>
      </c>
      <c r="C217" s="32" t="s">
        <v>765</v>
      </c>
      <c r="D217" s="32" t="s">
        <v>226</v>
      </c>
      <c r="E217" s="32" t="s">
        <v>323</v>
      </c>
      <c r="F217" s="32" t="s">
        <v>323</v>
      </c>
      <c r="G217" s="33">
        <v>1896.88</v>
      </c>
      <c r="H217" s="34">
        <v>33710</v>
      </c>
      <c r="I217" t="s">
        <v>735</v>
      </c>
      <c r="J217" s="30" t="s">
        <v>736</v>
      </c>
    </row>
    <row r="218" spans="1:10" ht="12.75" customHeight="1" x14ac:dyDescent="0.2">
      <c r="A218" s="32" t="s">
        <v>821</v>
      </c>
      <c r="B218" s="32" t="s">
        <v>822</v>
      </c>
      <c r="C218" s="32" t="s">
        <v>768</v>
      </c>
      <c r="D218" s="32" t="s">
        <v>219</v>
      </c>
      <c r="E218" s="32" t="s">
        <v>279</v>
      </c>
      <c r="F218" s="32" t="s">
        <v>523</v>
      </c>
      <c r="G218" s="33">
        <v>1676</v>
      </c>
      <c r="H218" s="34">
        <v>42373</v>
      </c>
      <c r="I218" t="s">
        <v>735</v>
      </c>
      <c r="J218" s="30" t="s">
        <v>736</v>
      </c>
    </row>
    <row r="219" spans="1:10" ht="12.75" customHeight="1" x14ac:dyDescent="0.2">
      <c r="A219" s="32" t="s">
        <v>823</v>
      </c>
      <c r="B219" s="32" t="s">
        <v>824</v>
      </c>
      <c r="C219" s="32" t="s">
        <v>768</v>
      </c>
      <c r="D219" s="32" t="s">
        <v>219</v>
      </c>
      <c r="E219" s="32" t="s">
        <v>233</v>
      </c>
      <c r="F219" s="32" t="s">
        <v>825</v>
      </c>
      <c r="G219" s="33">
        <v>1760</v>
      </c>
      <c r="H219" s="34">
        <v>39854</v>
      </c>
      <c r="I219" t="s">
        <v>735</v>
      </c>
      <c r="J219" s="30" t="s">
        <v>736</v>
      </c>
    </row>
    <row r="220" spans="1:10" ht="12.75" customHeight="1" x14ac:dyDescent="0.2">
      <c r="A220" s="32" t="s">
        <v>826</v>
      </c>
      <c r="B220" s="32" t="s">
        <v>827</v>
      </c>
      <c r="C220" s="32" t="s">
        <v>739</v>
      </c>
      <c r="D220" s="32" t="s">
        <v>219</v>
      </c>
      <c r="E220" s="32" t="s">
        <v>260</v>
      </c>
      <c r="F220" s="32" t="s">
        <v>811</v>
      </c>
      <c r="G220" s="33">
        <v>817</v>
      </c>
      <c r="H220" s="34">
        <v>42948</v>
      </c>
      <c r="I220" t="s">
        <v>735</v>
      </c>
      <c r="J220" s="30" t="s">
        <v>736</v>
      </c>
    </row>
    <row r="221" spans="1:10" ht="12.75" customHeight="1" x14ac:dyDescent="0.2">
      <c r="A221" s="32" t="s">
        <v>828</v>
      </c>
      <c r="B221" s="32" t="s">
        <v>829</v>
      </c>
      <c r="C221" s="32" t="s">
        <v>733</v>
      </c>
      <c r="D221" s="32" t="s">
        <v>219</v>
      </c>
      <c r="E221" s="32" t="s">
        <v>394</v>
      </c>
      <c r="F221" s="32" t="s">
        <v>759</v>
      </c>
      <c r="G221" s="33">
        <v>1212</v>
      </c>
      <c r="H221" s="34">
        <v>42058</v>
      </c>
      <c r="I221" t="s">
        <v>735</v>
      </c>
      <c r="J221" s="30" t="s">
        <v>736</v>
      </c>
    </row>
    <row r="222" spans="1:10" ht="12.75" customHeight="1" x14ac:dyDescent="0.2">
      <c r="A222" s="32" t="s">
        <v>830</v>
      </c>
      <c r="B222" s="32" t="s">
        <v>831</v>
      </c>
      <c r="C222" s="32" t="s">
        <v>739</v>
      </c>
      <c r="D222" s="32" t="s">
        <v>219</v>
      </c>
      <c r="E222" s="32" t="s">
        <v>580</v>
      </c>
      <c r="F222" s="32" t="s">
        <v>832</v>
      </c>
      <c r="G222" s="33">
        <v>2641</v>
      </c>
      <c r="H222" s="34">
        <v>40917</v>
      </c>
      <c r="I222" t="s">
        <v>735</v>
      </c>
      <c r="J222" s="30" t="s">
        <v>736</v>
      </c>
    </row>
    <row r="223" spans="1:10" ht="12.75" customHeight="1" x14ac:dyDescent="0.2">
      <c r="A223" s="32" t="s">
        <v>833</v>
      </c>
      <c r="B223" s="32" t="s">
        <v>834</v>
      </c>
      <c r="C223" s="32" t="s">
        <v>733</v>
      </c>
      <c r="D223" s="32" t="s">
        <v>219</v>
      </c>
      <c r="E223" s="32" t="s">
        <v>220</v>
      </c>
      <c r="F223" s="32" t="s">
        <v>835</v>
      </c>
      <c r="G223" s="33">
        <v>2034</v>
      </c>
      <c r="H223" s="34">
        <v>41465</v>
      </c>
      <c r="I223" t="s">
        <v>735</v>
      </c>
      <c r="J223" s="30" t="s">
        <v>736</v>
      </c>
    </row>
    <row r="224" spans="1:10" ht="12.75" customHeight="1" x14ac:dyDescent="0.2">
      <c r="A224" s="32" t="s">
        <v>836</v>
      </c>
      <c r="B224" s="32" t="s">
        <v>837</v>
      </c>
      <c r="C224" s="32" t="s">
        <v>765</v>
      </c>
      <c r="D224" s="32" t="s">
        <v>226</v>
      </c>
      <c r="E224" s="32" t="s">
        <v>279</v>
      </c>
      <c r="F224" s="32" t="s">
        <v>279</v>
      </c>
      <c r="G224" s="33">
        <v>1676</v>
      </c>
      <c r="H224" s="34">
        <v>43009</v>
      </c>
      <c r="I224" t="s">
        <v>735</v>
      </c>
      <c r="J224" s="30" t="s">
        <v>736</v>
      </c>
    </row>
    <row r="225" spans="1:10" ht="12.75" customHeight="1" x14ac:dyDescent="0.2">
      <c r="A225" s="32" t="s">
        <v>838</v>
      </c>
      <c r="B225" s="32" t="s">
        <v>839</v>
      </c>
      <c r="C225" s="32" t="s">
        <v>733</v>
      </c>
      <c r="D225" s="32" t="s">
        <v>219</v>
      </c>
      <c r="E225" s="32" t="s">
        <v>394</v>
      </c>
      <c r="F225" s="32" t="s">
        <v>759</v>
      </c>
      <c r="G225" s="33">
        <v>1212</v>
      </c>
      <c r="H225" s="34">
        <v>42979</v>
      </c>
      <c r="I225" t="s">
        <v>735</v>
      </c>
      <c r="J225" s="30" t="s">
        <v>736</v>
      </c>
    </row>
    <row r="226" spans="1:10" ht="12.75" customHeight="1" x14ac:dyDescent="0.2">
      <c r="A226" s="32" t="s">
        <v>840</v>
      </c>
      <c r="B226" s="32" t="s">
        <v>841</v>
      </c>
      <c r="C226" s="32" t="s">
        <v>733</v>
      </c>
      <c r="D226" s="32" t="s">
        <v>219</v>
      </c>
      <c r="E226" s="32" t="s">
        <v>260</v>
      </c>
      <c r="F226" s="32" t="s">
        <v>811</v>
      </c>
      <c r="G226" s="33">
        <v>817</v>
      </c>
      <c r="H226" s="34">
        <v>42979</v>
      </c>
      <c r="I226" t="s">
        <v>735</v>
      </c>
      <c r="J226" s="30" t="s">
        <v>736</v>
      </c>
    </row>
    <row r="227" spans="1:10" ht="12.75" customHeight="1" x14ac:dyDescent="0.2">
      <c r="A227" s="32" t="s">
        <v>842</v>
      </c>
      <c r="B227" s="32" t="s">
        <v>843</v>
      </c>
      <c r="C227" s="32" t="s">
        <v>733</v>
      </c>
      <c r="D227" s="32" t="s">
        <v>219</v>
      </c>
      <c r="E227" s="32" t="s">
        <v>269</v>
      </c>
      <c r="F227" s="32" t="s">
        <v>802</v>
      </c>
      <c r="G227" s="33">
        <v>1412</v>
      </c>
      <c r="H227" s="34">
        <v>39958</v>
      </c>
      <c r="I227" t="s">
        <v>735</v>
      </c>
      <c r="J227" s="30" t="s">
        <v>736</v>
      </c>
    </row>
    <row r="228" spans="1:10" ht="12.75" customHeight="1" x14ac:dyDescent="0.2">
      <c r="A228" s="32" t="s">
        <v>844</v>
      </c>
      <c r="B228" s="32" t="s">
        <v>845</v>
      </c>
      <c r="C228" s="32" t="s">
        <v>733</v>
      </c>
      <c r="D228" s="32" t="s">
        <v>219</v>
      </c>
      <c r="E228" s="32" t="s">
        <v>394</v>
      </c>
      <c r="F228" s="32" t="s">
        <v>805</v>
      </c>
      <c r="G228" s="33">
        <v>1212</v>
      </c>
      <c r="H228" s="34">
        <v>42917</v>
      </c>
      <c r="I228" t="s">
        <v>735</v>
      </c>
      <c r="J228" s="30" t="s">
        <v>736</v>
      </c>
    </row>
    <row r="229" spans="1:10" ht="12.75" customHeight="1" x14ac:dyDescent="0.2">
      <c r="A229" s="32" t="s">
        <v>846</v>
      </c>
      <c r="B229" s="32" t="s">
        <v>847</v>
      </c>
      <c r="C229" s="32" t="s">
        <v>733</v>
      </c>
      <c r="D229" s="32" t="s">
        <v>219</v>
      </c>
      <c r="E229" s="32" t="s">
        <v>269</v>
      </c>
      <c r="F229" s="32" t="s">
        <v>734</v>
      </c>
      <c r="G229" s="33">
        <v>1412</v>
      </c>
      <c r="H229" s="34">
        <v>40814</v>
      </c>
      <c r="I229" t="s">
        <v>735</v>
      </c>
      <c r="J229" s="30" t="s">
        <v>736</v>
      </c>
    </row>
    <row r="230" spans="1:10" ht="12.75" customHeight="1" x14ac:dyDescent="0.2">
      <c r="A230" s="32" t="s">
        <v>848</v>
      </c>
      <c r="B230" s="32" t="s">
        <v>849</v>
      </c>
      <c r="C230" s="32" t="s">
        <v>733</v>
      </c>
      <c r="D230" s="32" t="s">
        <v>219</v>
      </c>
      <c r="E230" s="32" t="s">
        <v>269</v>
      </c>
      <c r="F230" s="32" t="s">
        <v>850</v>
      </c>
      <c r="G230" s="33">
        <v>1412</v>
      </c>
      <c r="H230" s="34">
        <v>41344</v>
      </c>
      <c r="I230" t="s">
        <v>735</v>
      </c>
      <c r="J230" s="30" t="s">
        <v>736</v>
      </c>
    </row>
    <row r="231" spans="1:10" ht="12.75" customHeight="1" x14ac:dyDescent="0.2">
      <c r="A231" s="32" t="s">
        <v>851</v>
      </c>
      <c r="B231" s="32" t="s">
        <v>852</v>
      </c>
      <c r="C231" s="32" t="s">
        <v>853</v>
      </c>
      <c r="D231" s="32" t="s">
        <v>219</v>
      </c>
      <c r="E231" s="32" t="s">
        <v>264</v>
      </c>
      <c r="F231" s="32" t="s">
        <v>265</v>
      </c>
      <c r="G231" s="33">
        <v>733</v>
      </c>
      <c r="H231" s="34">
        <v>40721</v>
      </c>
      <c r="I231" t="s">
        <v>854</v>
      </c>
      <c r="J231" s="30" t="s">
        <v>855</v>
      </c>
    </row>
    <row r="232" spans="1:10" ht="12.75" customHeight="1" x14ac:dyDescent="0.2">
      <c r="A232" s="32" t="s">
        <v>856</v>
      </c>
      <c r="B232" s="32" t="s">
        <v>857</v>
      </c>
      <c r="C232" s="32" t="s">
        <v>858</v>
      </c>
      <c r="D232" s="32" t="s">
        <v>219</v>
      </c>
      <c r="E232" s="32" t="s">
        <v>260</v>
      </c>
      <c r="F232" s="32" t="s">
        <v>859</v>
      </c>
      <c r="G232" s="33">
        <v>817</v>
      </c>
      <c r="H232" s="34">
        <v>43152</v>
      </c>
      <c r="I232" t="s">
        <v>854</v>
      </c>
      <c r="J232" s="30" t="s">
        <v>855</v>
      </c>
    </row>
    <row r="233" spans="1:10" ht="12.75" customHeight="1" x14ac:dyDescent="0.2">
      <c r="A233" s="32" t="s">
        <v>860</v>
      </c>
      <c r="B233" s="32" t="s">
        <v>861</v>
      </c>
      <c r="C233" s="32" t="s">
        <v>853</v>
      </c>
      <c r="D233" s="32" t="s">
        <v>219</v>
      </c>
      <c r="E233" s="32" t="s">
        <v>260</v>
      </c>
      <c r="F233" s="32" t="s">
        <v>862</v>
      </c>
      <c r="G233" s="33">
        <v>817</v>
      </c>
      <c r="H233" s="34">
        <v>40919</v>
      </c>
      <c r="I233" t="s">
        <v>854</v>
      </c>
      <c r="J233" s="30" t="s">
        <v>855</v>
      </c>
    </row>
    <row r="234" spans="1:10" ht="12.75" customHeight="1" x14ac:dyDescent="0.2">
      <c r="A234" s="32" t="s">
        <v>863</v>
      </c>
      <c r="B234" s="32" t="s">
        <v>864</v>
      </c>
      <c r="C234" s="32" t="s">
        <v>865</v>
      </c>
      <c r="D234" s="32" t="s">
        <v>226</v>
      </c>
      <c r="E234" s="32" t="s">
        <v>866</v>
      </c>
      <c r="F234" s="32" t="s">
        <v>866</v>
      </c>
      <c r="G234" s="33">
        <v>3340</v>
      </c>
      <c r="H234" s="34">
        <v>31929</v>
      </c>
      <c r="I234" t="s">
        <v>854</v>
      </c>
      <c r="J234" s="30" t="s">
        <v>855</v>
      </c>
    </row>
    <row r="235" spans="1:10" ht="12.75" customHeight="1" x14ac:dyDescent="0.2">
      <c r="A235" s="32" t="s">
        <v>867</v>
      </c>
      <c r="B235" s="32" t="s">
        <v>868</v>
      </c>
      <c r="C235" s="32" t="s">
        <v>853</v>
      </c>
      <c r="D235" s="32" t="s">
        <v>226</v>
      </c>
      <c r="E235" s="32" t="s">
        <v>514</v>
      </c>
      <c r="F235" s="32" t="s">
        <v>514</v>
      </c>
      <c r="G235" s="33">
        <v>2031.12</v>
      </c>
      <c r="H235" s="34">
        <v>32262</v>
      </c>
      <c r="I235" t="s">
        <v>854</v>
      </c>
      <c r="J235" s="30" t="s">
        <v>855</v>
      </c>
    </row>
    <row r="236" spans="1:10" ht="12.75" customHeight="1" x14ac:dyDescent="0.2">
      <c r="A236" s="32" t="s">
        <v>869</v>
      </c>
      <c r="B236" s="32" t="s">
        <v>870</v>
      </c>
      <c r="C236" s="32" t="s">
        <v>871</v>
      </c>
      <c r="D236" s="32" t="s">
        <v>219</v>
      </c>
      <c r="E236" s="32" t="s">
        <v>220</v>
      </c>
      <c r="F236" s="32" t="s">
        <v>872</v>
      </c>
      <c r="G236" s="33">
        <v>2034</v>
      </c>
      <c r="H236" s="34">
        <v>41795</v>
      </c>
      <c r="I236" t="s">
        <v>854</v>
      </c>
      <c r="J236" s="30" t="s">
        <v>855</v>
      </c>
    </row>
    <row r="237" spans="1:10" ht="12.75" customHeight="1" x14ac:dyDescent="0.2">
      <c r="A237" s="32" t="s">
        <v>873</v>
      </c>
      <c r="B237" s="32" t="s">
        <v>874</v>
      </c>
      <c r="C237" s="32" t="s">
        <v>858</v>
      </c>
      <c r="D237" s="32" t="s">
        <v>226</v>
      </c>
      <c r="E237" s="32" t="s">
        <v>476</v>
      </c>
      <c r="F237" s="32" t="s">
        <v>476</v>
      </c>
      <c r="G237" s="33">
        <v>2924.12</v>
      </c>
      <c r="H237" s="34">
        <v>34556</v>
      </c>
      <c r="I237" t="s">
        <v>854</v>
      </c>
      <c r="J237" s="30" t="s">
        <v>855</v>
      </c>
    </row>
    <row r="238" spans="1:10" ht="12.75" customHeight="1" x14ac:dyDescent="0.2">
      <c r="A238" s="32" t="s">
        <v>875</v>
      </c>
      <c r="B238" s="32" t="s">
        <v>876</v>
      </c>
      <c r="C238" s="32" t="s">
        <v>858</v>
      </c>
      <c r="D238" s="32" t="s">
        <v>226</v>
      </c>
      <c r="E238" s="32" t="s">
        <v>520</v>
      </c>
      <c r="F238" s="32" t="s">
        <v>520</v>
      </c>
      <c r="G238" s="33">
        <v>2106.12</v>
      </c>
      <c r="H238" s="34">
        <v>32980</v>
      </c>
      <c r="I238" t="s">
        <v>854</v>
      </c>
      <c r="J238" s="30" t="s">
        <v>855</v>
      </c>
    </row>
    <row r="239" spans="1:10" ht="12.75" customHeight="1" x14ac:dyDescent="0.2">
      <c r="A239" s="32" t="s">
        <v>877</v>
      </c>
      <c r="B239" s="32" t="s">
        <v>878</v>
      </c>
      <c r="C239" s="32" t="s">
        <v>871</v>
      </c>
      <c r="D239" s="32" t="s">
        <v>226</v>
      </c>
      <c r="E239" s="32" t="s">
        <v>879</v>
      </c>
      <c r="F239" s="32" t="s">
        <v>879</v>
      </c>
      <c r="G239" s="33">
        <v>1768.72</v>
      </c>
      <c r="H239" s="34">
        <v>33667</v>
      </c>
      <c r="I239" t="s">
        <v>854</v>
      </c>
      <c r="J239" s="30" t="s">
        <v>855</v>
      </c>
    </row>
    <row r="240" spans="1:10" ht="12.75" customHeight="1" x14ac:dyDescent="0.2">
      <c r="A240" s="32" t="s">
        <v>880</v>
      </c>
      <c r="B240" s="32" t="s">
        <v>881</v>
      </c>
      <c r="C240" s="32" t="s">
        <v>871</v>
      </c>
      <c r="D240" s="32" t="s">
        <v>219</v>
      </c>
      <c r="E240" s="32" t="s">
        <v>220</v>
      </c>
      <c r="F240" s="32" t="s">
        <v>872</v>
      </c>
      <c r="G240" s="33">
        <v>2034</v>
      </c>
      <c r="H240" s="34">
        <v>29823</v>
      </c>
      <c r="I240" t="s">
        <v>854</v>
      </c>
      <c r="J240" s="30" t="s">
        <v>855</v>
      </c>
    </row>
    <row r="241" spans="1:10" ht="12.75" customHeight="1" x14ac:dyDescent="0.2">
      <c r="A241" s="32" t="s">
        <v>882</v>
      </c>
      <c r="B241" s="32" t="s">
        <v>883</v>
      </c>
      <c r="C241" s="32" t="s">
        <v>853</v>
      </c>
      <c r="D241" s="32" t="s">
        <v>226</v>
      </c>
      <c r="E241" s="32" t="s">
        <v>884</v>
      </c>
      <c r="F241" s="32" t="s">
        <v>884</v>
      </c>
      <c r="G241" s="33">
        <v>1742.47</v>
      </c>
      <c r="H241" s="34">
        <v>32972</v>
      </c>
      <c r="I241" t="s">
        <v>854</v>
      </c>
      <c r="J241" s="30" t="s">
        <v>855</v>
      </c>
    </row>
    <row r="242" spans="1:10" ht="12.75" customHeight="1" x14ac:dyDescent="0.2">
      <c r="A242" s="32" t="s">
        <v>885</v>
      </c>
      <c r="B242" s="32" t="s">
        <v>886</v>
      </c>
      <c r="C242" s="32" t="s">
        <v>858</v>
      </c>
      <c r="D242" s="32" t="s">
        <v>226</v>
      </c>
      <c r="E242" s="32" t="s">
        <v>326</v>
      </c>
      <c r="F242" s="32" t="s">
        <v>326</v>
      </c>
      <c r="G242" s="33">
        <v>1757.49</v>
      </c>
      <c r="H242" s="34">
        <v>32419</v>
      </c>
      <c r="I242" t="s">
        <v>854</v>
      </c>
      <c r="J242" s="30" t="s">
        <v>855</v>
      </c>
    </row>
    <row r="243" spans="1:10" ht="12.75" customHeight="1" x14ac:dyDescent="0.2">
      <c r="A243" s="32" t="s">
        <v>887</v>
      </c>
      <c r="B243" s="32" t="s">
        <v>888</v>
      </c>
      <c r="C243" s="32" t="s">
        <v>858</v>
      </c>
      <c r="D243" s="32" t="s">
        <v>219</v>
      </c>
      <c r="E243" s="32" t="s">
        <v>394</v>
      </c>
      <c r="F243" s="32" t="s">
        <v>889</v>
      </c>
      <c r="G243" s="33">
        <v>1212</v>
      </c>
      <c r="H243" s="34">
        <v>43221</v>
      </c>
      <c r="I243" t="s">
        <v>854</v>
      </c>
      <c r="J243" s="30" t="s">
        <v>855</v>
      </c>
    </row>
    <row r="244" spans="1:10" ht="12.75" customHeight="1" x14ac:dyDescent="0.2">
      <c r="A244" s="32" t="s">
        <v>890</v>
      </c>
      <c r="B244" s="32" t="s">
        <v>891</v>
      </c>
      <c r="C244" s="32" t="s">
        <v>892</v>
      </c>
      <c r="D244" s="32" t="s">
        <v>226</v>
      </c>
      <c r="E244" s="32" t="s">
        <v>893</v>
      </c>
      <c r="F244" s="32" t="s">
        <v>893</v>
      </c>
      <c r="G244" s="33">
        <v>1773.82</v>
      </c>
      <c r="H244" s="34">
        <v>34226</v>
      </c>
      <c r="I244" t="s">
        <v>854</v>
      </c>
      <c r="J244" s="30" t="s">
        <v>855</v>
      </c>
    </row>
    <row r="245" spans="1:10" ht="12.75" customHeight="1" x14ac:dyDescent="0.2">
      <c r="A245" s="32" t="s">
        <v>894</v>
      </c>
      <c r="B245" s="32" t="s">
        <v>895</v>
      </c>
      <c r="C245" s="32" t="s">
        <v>892</v>
      </c>
      <c r="D245" s="32" t="s">
        <v>226</v>
      </c>
      <c r="E245" s="32" t="s">
        <v>227</v>
      </c>
      <c r="F245" s="32" t="s">
        <v>227</v>
      </c>
      <c r="G245" s="33">
        <v>2087.14</v>
      </c>
      <c r="H245" s="34">
        <v>32429</v>
      </c>
      <c r="I245" t="s">
        <v>854</v>
      </c>
      <c r="J245" s="30" t="s">
        <v>855</v>
      </c>
    </row>
    <row r="246" spans="1:10" ht="12.75" customHeight="1" x14ac:dyDescent="0.2">
      <c r="A246" s="32" t="s">
        <v>896</v>
      </c>
      <c r="B246" s="32" t="s">
        <v>897</v>
      </c>
      <c r="C246" s="32" t="s">
        <v>858</v>
      </c>
      <c r="D246" s="32" t="s">
        <v>588</v>
      </c>
      <c r="E246" s="32" t="s">
        <v>898</v>
      </c>
      <c r="F246" s="32" t="s">
        <v>899</v>
      </c>
      <c r="G246" s="33">
        <v>3340</v>
      </c>
      <c r="H246" s="34">
        <v>43221</v>
      </c>
      <c r="I246" t="s">
        <v>854</v>
      </c>
      <c r="J246" s="30" t="s">
        <v>855</v>
      </c>
    </row>
    <row r="247" spans="1:10" ht="12.75" customHeight="1" x14ac:dyDescent="0.2">
      <c r="A247" s="32" t="s">
        <v>900</v>
      </c>
      <c r="B247" s="32" t="s">
        <v>901</v>
      </c>
      <c r="C247" s="32" t="s">
        <v>853</v>
      </c>
      <c r="D247" s="32" t="s">
        <v>226</v>
      </c>
      <c r="E247" s="32" t="s">
        <v>902</v>
      </c>
      <c r="F247" s="32" t="s">
        <v>902</v>
      </c>
      <c r="G247" s="33">
        <v>1959.36</v>
      </c>
      <c r="H247" s="34">
        <v>33605</v>
      </c>
      <c r="I247" t="s">
        <v>854</v>
      </c>
      <c r="J247" s="30" t="s">
        <v>855</v>
      </c>
    </row>
    <row r="248" spans="1:10" ht="12.75" customHeight="1" x14ac:dyDescent="0.2">
      <c r="A248" s="32" t="s">
        <v>903</v>
      </c>
      <c r="B248" s="32" t="s">
        <v>904</v>
      </c>
      <c r="C248" s="32" t="s">
        <v>892</v>
      </c>
      <c r="D248" s="32" t="s">
        <v>226</v>
      </c>
      <c r="E248" s="32" t="s">
        <v>476</v>
      </c>
      <c r="F248" s="32" t="s">
        <v>476</v>
      </c>
      <c r="G248" s="33">
        <v>2839.12</v>
      </c>
      <c r="H248" s="34">
        <v>29830</v>
      </c>
      <c r="I248" t="s">
        <v>854</v>
      </c>
      <c r="J248" s="30" t="s">
        <v>855</v>
      </c>
    </row>
    <row r="249" spans="1:10" ht="12.75" customHeight="1" x14ac:dyDescent="0.2">
      <c r="A249" s="32" t="s">
        <v>905</v>
      </c>
      <c r="B249" s="32" t="s">
        <v>906</v>
      </c>
      <c r="C249" s="32" t="s">
        <v>871</v>
      </c>
      <c r="D249" s="32" t="s">
        <v>226</v>
      </c>
      <c r="E249" s="32" t="s">
        <v>907</v>
      </c>
      <c r="F249" s="32" t="s">
        <v>907</v>
      </c>
      <c r="G249" s="33">
        <v>2032.99</v>
      </c>
      <c r="H249" s="34">
        <v>29077</v>
      </c>
      <c r="I249" t="s">
        <v>854</v>
      </c>
      <c r="J249" s="30" t="s">
        <v>855</v>
      </c>
    </row>
    <row r="250" spans="1:10" ht="12.75" customHeight="1" x14ac:dyDescent="0.2">
      <c r="A250" s="32" t="s">
        <v>908</v>
      </c>
      <c r="B250" s="32" t="s">
        <v>909</v>
      </c>
      <c r="C250" s="32" t="s">
        <v>858</v>
      </c>
      <c r="D250" s="32" t="s">
        <v>219</v>
      </c>
      <c r="E250" s="32" t="s">
        <v>898</v>
      </c>
      <c r="F250" s="32" t="s">
        <v>899</v>
      </c>
      <c r="G250" s="33">
        <v>3340</v>
      </c>
      <c r="H250" s="34">
        <v>34639</v>
      </c>
      <c r="I250" t="s">
        <v>854</v>
      </c>
      <c r="J250" s="30" t="s">
        <v>855</v>
      </c>
    </row>
    <row r="251" spans="1:10" ht="12.75" customHeight="1" x14ac:dyDescent="0.2">
      <c r="A251" s="32" t="s">
        <v>910</v>
      </c>
      <c r="B251" s="32" t="s">
        <v>911</v>
      </c>
      <c r="C251" s="32" t="s">
        <v>871</v>
      </c>
      <c r="D251" s="32" t="s">
        <v>226</v>
      </c>
      <c r="E251" s="32" t="s">
        <v>907</v>
      </c>
      <c r="F251" s="32" t="s">
        <v>907</v>
      </c>
      <c r="G251" s="33">
        <v>2032.99</v>
      </c>
      <c r="H251" s="34">
        <v>29508</v>
      </c>
      <c r="I251" t="s">
        <v>854</v>
      </c>
      <c r="J251" s="30" t="s">
        <v>855</v>
      </c>
    </row>
    <row r="252" spans="1:10" ht="12.75" customHeight="1" x14ac:dyDescent="0.2">
      <c r="A252" s="32" t="s">
        <v>912</v>
      </c>
      <c r="B252" s="32" t="s">
        <v>913</v>
      </c>
      <c r="C252" s="32" t="s">
        <v>892</v>
      </c>
      <c r="D252" s="32" t="s">
        <v>219</v>
      </c>
      <c r="E252" s="32" t="s">
        <v>260</v>
      </c>
      <c r="F252" s="32" t="s">
        <v>859</v>
      </c>
      <c r="G252" s="33">
        <v>817</v>
      </c>
      <c r="H252" s="34">
        <v>42173</v>
      </c>
      <c r="I252" t="s">
        <v>854</v>
      </c>
      <c r="J252" s="30" t="s">
        <v>855</v>
      </c>
    </row>
    <row r="253" spans="1:10" ht="12.75" customHeight="1" x14ac:dyDescent="0.2">
      <c r="A253" s="32" t="s">
        <v>914</v>
      </c>
      <c r="B253" s="32" t="s">
        <v>915</v>
      </c>
      <c r="C253" s="32" t="s">
        <v>853</v>
      </c>
      <c r="D253" s="32" t="s">
        <v>226</v>
      </c>
      <c r="E253" s="32" t="s">
        <v>916</v>
      </c>
      <c r="F253" s="32" t="s">
        <v>916</v>
      </c>
      <c r="G253" s="33">
        <v>2936.15</v>
      </c>
      <c r="H253" s="34">
        <v>31168</v>
      </c>
      <c r="I253" t="s">
        <v>854</v>
      </c>
      <c r="J253" s="30" t="s">
        <v>855</v>
      </c>
    </row>
    <row r="254" spans="1:10" ht="12.75" customHeight="1" x14ac:dyDescent="0.2">
      <c r="A254" s="32" t="s">
        <v>917</v>
      </c>
      <c r="B254" s="32" t="s">
        <v>918</v>
      </c>
      <c r="C254" s="32" t="s">
        <v>871</v>
      </c>
      <c r="D254" s="32" t="s">
        <v>219</v>
      </c>
      <c r="E254" s="32" t="s">
        <v>260</v>
      </c>
      <c r="F254" s="32" t="s">
        <v>919</v>
      </c>
      <c r="G254" s="33">
        <v>817</v>
      </c>
      <c r="H254" s="34">
        <v>43221</v>
      </c>
      <c r="I254" t="s">
        <v>854</v>
      </c>
      <c r="J254" s="30" t="s">
        <v>855</v>
      </c>
    </row>
    <row r="255" spans="1:10" ht="12.75" customHeight="1" x14ac:dyDescent="0.2">
      <c r="A255" s="32" t="s">
        <v>920</v>
      </c>
      <c r="B255" s="32" t="s">
        <v>921</v>
      </c>
      <c r="C255" s="32" t="s">
        <v>858</v>
      </c>
      <c r="D255" s="32" t="s">
        <v>219</v>
      </c>
      <c r="E255" s="32" t="s">
        <v>264</v>
      </c>
      <c r="F255" s="32" t="s">
        <v>265</v>
      </c>
      <c r="G255" s="33">
        <v>733</v>
      </c>
      <c r="H255" s="34">
        <v>43221</v>
      </c>
      <c r="I255" t="s">
        <v>854</v>
      </c>
      <c r="J255" s="30" t="s">
        <v>855</v>
      </c>
    </row>
    <row r="256" spans="1:10" ht="12.75" customHeight="1" x14ac:dyDescent="0.2">
      <c r="A256" s="32" t="s">
        <v>922</v>
      </c>
      <c r="B256" s="32" t="s">
        <v>923</v>
      </c>
      <c r="C256" s="32" t="s">
        <v>853</v>
      </c>
      <c r="D256" s="32" t="s">
        <v>226</v>
      </c>
      <c r="E256" s="32" t="s">
        <v>613</v>
      </c>
      <c r="F256" s="32" t="s">
        <v>924</v>
      </c>
      <c r="G256" s="33">
        <v>2967</v>
      </c>
      <c r="H256" s="34">
        <v>36619</v>
      </c>
      <c r="I256" t="s">
        <v>854</v>
      </c>
      <c r="J256" s="30" t="s">
        <v>855</v>
      </c>
    </row>
    <row r="257" spans="1:10" ht="12.75" customHeight="1" x14ac:dyDescent="0.2">
      <c r="A257" s="32" t="s">
        <v>925</v>
      </c>
      <c r="B257" s="32" t="s">
        <v>926</v>
      </c>
      <c r="C257" s="32" t="s">
        <v>853</v>
      </c>
      <c r="D257" s="32" t="s">
        <v>219</v>
      </c>
      <c r="E257" s="32" t="s">
        <v>264</v>
      </c>
      <c r="F257" s="32" t="s">
        <v>265</v>
      </c>
      <c r="G257" s="33">
        <v>733</v>
      </c>
      <c r="H257" s="34">
        <v>40721</v>
      </c>
      <c r="I257" t="s">
        <v>854</v>
      </c>
      <c r="J257" s="30" t="s">
        <v>855</v>
      </c>
    </row>
    <row r="258" spans="1:10" ht="12.75" customHeight="1" x14ac:dyDescent="0.2">
      <c r="A258" s="32" t="s">
        <v>927</v>
      </c>
      <c r="B258" s="32" t="s">
        <v>928</v>
      </c>
      <c r="C258" s="32" t="s">
        <v>853</v>
      </c>
      <c r="D258" s="32" t="s">
        <v>219</v>
      </c>
      <c r="E258" s="32" t="s">
        <v>260</v>
      </c>
      <c r="F258" s="32" t="s">
        <v>862</v>
      </c>
      <c r="G258" s="33">
        <v>817</v>
      </c>
      <c r="H258" s="34">
        <v>35065</v>
      </c>
      <c r="I258" t="s">
        <v>854</v>
      </c>
      <c r="J258" s="30" t="s">
        <v>855</v>
      </c>
    </row>
    <row r="259" spans="1:10" ht="12.75" customHeight="1" x14ac:dyDescent="0.2">
      <c r="A259" s="32" t="s">
        <v>929</v>
      </c>
      <c r="B259" s="32" t="s">
        <v>930</v>
      </c>
      <c r="C259" s="32" t="s">
        <v>892</v>
      </c>
      <c r="D259" s="32" t="s">
        <v>219</v>
      </c>
      <c r="E259" s="32" t="s">
        <v>394</v>
      </c>
      <c r="F259" s="32" t="s">
        <v>595</v>
      </c>
      <c r="G259" s="33">
        <v>1212</v>
      </c>
      <c r="H259" s="34">
        <v>41108</v>
      </c>
      <c r="I259" t="s">
        <v>854</v>
      </c>
      <c r="J259" s="30" t="s">
        <v>855</v>
      </c>
    </row>
    <row r="260" spans="1:10" ht="12.75" customHeight="1" x14ac:dyDescent="0.2">
      <c r="A260" s="32" t="s">
        <v>931</v>
      </c>
      <c r="B260" s="32" t="s">
        <v>932</v>
      </c>
      <c r="C260" s="32" t="s">
        <v>871</v>
      </c>
      <c r="D260" s="32" t="s">
        <v>226</v>
      </c>
      <c r="E260" s="32" t="s">
        <v>254</v>
      </c>
      <c r="F260" s="32" t="s">
        <v>254</v>
      </c>
      <c r="G260" s="33">
        <v>2014.48</v>
      </c>
      <c r="H260" s="34">
        <v>32224</v>
      </c>
      <c r="I260" t="s">
        <v>854</v>
      </c>
      <c r="J260" s="30" t="s">
        <v>855</v>
      </c>
    </row>
    <row r="261" spans="1:10" ht="12.75" customHeight="1" x14ac:dyDescent="0.2">
      <c r="A261" s="32" t="s">
        <v>933</v>
      </c>
      <c r="B261" s="32" t="s">
        <v>934</v>
      </c>
      <c r="C261" s="32" t="s">
        <v>853</v>
      </c>
      <c r="D261" s="32" t="s">
        <v>226</v>
      </c>
      <c r="E261" s="32" t="s">
        <v>893</v>
      </c>
      <c r="F261" s="32" t="s">
        <v>893</v>
      </c>
      <c r="G261" s="33">
        <v>1738.78</v>
      </c>
      <c r="H261" s="34">
        <v>33925</v>
      </c>
      <c r="I261" t="s">
        <v>854</v>
      </c>
      <c r="J261" s="30" t="s">
        <v>855</v>
      </c>
    </row>
    <row r="262" spans="1:10" ht="12.75" customHeight="1" x14ac:dyDescent="0.2">
      <c r="A262" s="32" t="s">
        <v>935</v>
      </c>
      <c r="B262" s="32" t="s">
        <v>936</v>
      </c>
      <c r="C262" s="32" t="s">
        <v>853</v>
      </c>
      <c r="D262" s="32" t="s">
        <v>226</v>
      </c>
      <c r="E262" s="32" t="s">
        <v>916</v>
      </c>
      <c r="F262" s="32" t="s">
        <v>916</v>
      </c>
      <c r="G262" s="33">
        <v>2422.33</v>
      </c>
      <c r="H262" s="34">
        <v>31837</v>
      </c>
      <c r="I262" t="s">
        <v>854</v>
      </c>
      <c r="J262" s="30" t="s">
        <v>855</v>
      </c>
    </row>
    <row r="263" spans="1:10" ht="12.75" customHeight="1" x14ac:dyDescent="0.2">
      <c r="A263" s="32" t="s">
        <v>937</v>
      </c>
      <c r="B263" s="32" t="s">
        <v>938</v>
      </c>
      <c r="C263" s="32" t="s">
        <v>853</v>
      </c>
      <c r="D263" s="32" t="s">
        <v>588</v>
      </c>
      <c r="E263" s="32" t="s">
        <v>220</v>
      </c>
      <c r="F263" s="32" t="s">
        <v>939</v>
      </c>
      <c r="G263" s="33">
        <v>2034</v>
      </c>
      <c r="H263" s="34">
        <v>42948</v>
      </c>
      <c r="I263" t="s">
        <v>854</v>
      </c>
      <c r="J263" s="30" t="s">
        <v>855</v>
      </c>
    </row>
    <row r="264" spans="1:10" ht="12.75" customHeight="1" x14ac:dyDescent="0.2">
      <c r="A264" s="32" t="s">
        <v>940</v>
      </c>
      <c r="B264" s="32" t="s">
        <v>941</v>
      </c>
      <c r="C264" s="32" t="s">
        <v>858</v>
      </c>
      <c r="D264" s="32" t="s">
        <v>226</v>
      </c>
      <c r="E264" s="32" t="s">
        <v>237</v>
      </c>
      <c r="F264" s="32" t="s">
        <v>237</v>
      </c>
      <c r="G264" s="33">
        <v>2223.5300000000002</v>
      </c>
      <c r="H264" s="34">
        <v>31639</v>
      </c>
      <c r="I264" t="s">
        <v>854</v>
      </c>
      <c r="J264" s="30" t="s">
        <v>855</v>
      </c>
    </row>
    <row r="265" spans="1:10" ht="12.75" customHeight="1" x14ac:dyDescent="0.2">
      <c r="A265" s="32" t="s">
        <v>942</v>
      </c>
      <c r="B265" s="32" t="s">
        <v>943</v>
      </c>
      <c r="C265" s="32" t="s">
        <v>871</v>
      </c>
      <c r="D265" s="32" t="s">
        <v>226</v>
      </c>
      <c r="E265" s="32" t="s">
        <v>944</v>
      </c>
      <c r="F265" s="32" t="s">
        <v>944</v>
      </c>
      <c r="G265" s="33">
        <v>2008.37</v>
      </c>
      <c r="H265" s="34">
        <v>31597</v>
      </c>
      <c r="I265" t="s">
        <v>854</v>
      </c>
      <c r="J265" s="30" t="s">
        <v>855</v>
      </c>
    </row>
    <row r="266" spans="1:10" ht="12.75" customHeight="1" x14ac:dyDescent="0.2">
      <c r="A266" s="32" t="s">
        <v>945</v>
      </c>
      <c r="B266" s="32" t="s">
        <v>946</v>
      </c>
      <c r="C266" s="32" t="s">
        <v>871</v>
      </c>
      <c r="D266" s="32" t="s">
        <v>219</v>
      </c>
      <c r="E266" s="32" t="s">
        <v>260</v>
      </c>
      <c r="F266" s="32" t="s">
        <v>919</v>
      </c>
      <c r="G266" s="33">
        <v>817</v>
      </c>
      <c r="H266" s="34">
        <v>43040</v>
      </c>
      <c r="I266" t="s">
        <v>854</v>
      </c>
      <c r="J266" s="30" t="s">
        <v>855</v>
      </c>
    </row>
    <row r="267" spans="1:10" ht="12.75" customHeight="1" x14ac:dyDescent="0.2">
      <c r="A267" s="32" t="s">
        <v>947</v>
      </c>
      <c r="B267" s="32" t="s">
        <v>948</v>
      </c>
      <c r="C267" s="32" t="s">
        <v>858</v>
      </c>
      <c r="D267" s="32" t="s">
        <v>219</v>
      </c>
      <c r="E267" s="32" t="s">
        <v>264</v>
      </c>
      <c r="F267" s="32" t="s">
        <v>265</v>
      </c>
      <c r="G267" s="33">
        <v>733</v>
      </c>
      <c r="H267" s="34">
        <v>41900</v>
      </c>
      <c r="I267" t="s">
        <v>854</v>
      </c>
      <c r="J267" s="30" t="s">
        <v>855</v>
      </c>
    </row>
    <row r="268" spans="1:10" ht="12.75" customHeight="1" x14ac:dyDescent="0.2">
      <c r="A268" s="32" t="s">
        <v>949</v>
      </c>
      <c r="B268" s="32" t="s">
        <v>950</v>
      </c>
      <c r="C268" s="32" t="s">
        <v>951</v>
      </c>
      <c r="D268" s="32" t="s">
        <v>226</v>
      </c>
      <c r="E268" s="32" t="s">
        <v>431</v>
      </c>
      <c r="F268" s="32" t="s">
        <v>431</v>
      </c>
      <c r="G268" s="33">
        <v>2099.29</v>
      </c>
      <c r="H268" s="34">
        <v>32366</v>
      </c>
      <c r="I268" t="s">
        <v>854</v>
      </c>
      <c r="J268" s="30" t="s">
        <v>855</v>
      </c>
    </row>
    <row r="269" spans="1:10" ht="12.75" customHeight="1" x14ac:dyDescent="0.2">
      <c r="A269" s="32" t="s">
        <v>952</v>
      </c>
      <c r="B269" s="32" t="s">
        <v>953</v>
      </c>
      <c r="C269" s="32" t="s">
        <v>892</v>
      </c>
      <c r="D269" s="32" t="s">
        <v>219</v>
      </c>
      <c r="E269" s="32" t="s">
        <v>260</v>
      </c>
      <c r="F269" s="32" t="s">
        <v>859</v>
      </c>
      <c r="G269" s="33">
        <v>817</v>
      </c>
      <c r="H269" s="34">
        <v>39783</v>
      </c>
      <c r="I269" t="s">
        <v>854</v>
      </c>
      <c r="J269" s="30" t="s">
        <v>855</v>
      </c>
    </row>
    <row r="270" spans="1:10" ht="12.75" customHeight="1" x14ac:dyDescent="0.2">
      <c r="A270" s="32" t="s">
        <v>954</v>
      </c>
      <c r="B270" s="32" t="s">
        <v>955</v>
      </c>
      <c r="C270" s="32" t="s">
        <v>871</v>
      </c>
      <c r="D270" s="32" t="s">
        <v>226</v>
      </c>
      <c r="E270" s="32" t="s">
        <v>956</v>
      </c>
      <c r="F270" s="32" t="s">
        <v>956</v>
      </c>
      <c r="G270" s="33">
        <v>2014.01</v>
      </c>
      <c r="H270" s="34">
        <v>33255</v>
      </c>
      <c r="I270" t="s">
        <v>854</v>
      </c>
      <c r="J270" s="30" t="s">
        <v>855</v>
      </c>
    </row>
    <row r="271" spans="1:10" ht="12.75" customHeight="1" x14ac:dyDescent="0.2">
      <c r="A271" s="32" t="s">
        <v>957</v>
      </c>
      <c r="B271" s="32" t="s">
        <v>958</v>
      </c>
      <c r="C271" s="32" t="s">
        <v>853</v>
      </c>
      <c r="D271" s="32" t="s">
        <v>219</v>
      </c>
      <c r="E271" s="32" t="s">
        <v>264</v>
      </c>
      <c r="F271" s="32" t="s">
        <v>265</v>
      </c>
      <c r="G271" s="33">
        <v>733</v>
      </c>
      <c r="H271" s="34">
        <v>42917</v>
      </c>
      <c r="I271" t="s">
        <v>854</v>
      </c>
      <c r="J271" s="30" t="s">
        <v>855</v>
      </c>
    </row>
    <row r="272" spans="1:10" ht="12.75" customHeight="1" x14ac:dyDescent="0.2">
      <c r="A272" s="32" t="s">
        <v>959</v>
      </c>
      <c r="B272" s="32" t="s">
        <v>960</v>
      </c>
      <c r="C272" s="32" t="s">
        <v>853</v>
      </c>
      <c r="D272" s="32" t="s">
        <v>219</v>
      </c>
      <c r="E272" s="32" t="s">
        <v>264</v>
      </c>
      <c r="F272" s="32" t="s">
        <v>265</v>
      </c>
      <c r="G272" s="33">
        <v>733</v>
      </c>
      <c r="H272" s="34">
        <v>42887</v>
      </c>
      <c r="I272" t="s">
        <v>854</v>
      </c>
      <c r="J272" s="30" t="s">
        <v>855</v>
      </c>
    </row>
    <row r="273" spans="1:10" ht="12.75" customHeight="1" x14ac:dyDescent="0.2">
      <c r="A273" s="32" t="s">
        <v>961</v>
      </c>
      <c r="B273" s="32" t="s">
        <v>962</v>
      </c>
      <c r="C273" s="32" t="s">
        <v>871</v>
      </c>
      <c r="D273" s="32" t="s">
        <v>226</v>
      </c>
      <c r="E273" s="32" t="s">
        <v>476</v>
      </c>
      <c r="F273" s="32" t="s">
        <v>476</v>
      </c>
      <c r="G273" s="33">
        <v>2684.95</v>
      </c>
      <c r="H273" s="34">
        <v>32406</v>
      </c>
      <c r="I273" t="s">
        <v>854</v>
      </c>
      <c r="J273" s="30" t="s">
        <v>855</v>
      </c>
    </row>
    <row r="274" spans="1:10" ht="12.75" customHeight="1" x14ac:dyDescent="0.2">
      <c r="A274" s="32" t="s">
        <v>963</v>
      </c>
      <c r="B274" s="32" t="s">
        <v>964</v>
      </c>
      <c r="C274" s="32" t="s">
        <v>853</v>
      </c>
      <c r="D274" s="32" t="s">
        <v>226</v>
      </c>
      <c r="E274" s="32" t="s">
        <v>893</v>
      </c>
      <c r="F274" s="32" t="s">
        <v>893</v>
      </c>
      <c r="G274" s="33">
        <v>2028.82</v>
      </c>
      <c r="H274" s="34">
        <v>33095</v>
      </c>
      <c r="I274" t="s">
        <v>854</v>
      </c>
      <c r="J274" s="30" t="s">
        <v>855</v>
      </c>
    </row>
    <row r="275" spans="1:10" ht="12.75" customHeight="1" x14ac:dyDescent="0.2">
      <c r="A275" s="32" t="s">
        <v>965</v>
      </c>
      <c r="B275" s="32" t="s">
        <v>966</v>
      </c>
      <c r="C275" s="32" t="s">
        <v>892</v>
      </c>
      <c r="D275" s="32" t="s">
        <v>219</v>
      </c>
      <c r="E275" s="32" t="s">
        <v>260</v>
      </c>
      <c r="F275" s="32" t="s">
        <v>859</v>
      </c>
      <c r="G275" s="33">
        <v>817</v>
      </c>
      <c r="H275" s="34">
        <v>40043</v>
      </c>
      <c r="I275" t="s">
        <v>854</v>
      </c>
      <c r="J275" s="30" t="s">
        <v>855</v>
      </c>
    </row>
    <row r="276" spans="1:10" ht="12.75" customHeight="1" x14ac:dyDescent="0.2">
      <c r="A276" s="32" t="s">
        <v>967</v>
      </c>
      <c r="B276" s="32" t="s">
        <v>968</v>
      </c>
      <c r="C276" s="32" t="s">
        <v>853</v>
      </c>
      <c r="D276" s="32" t="s">
        <v>226</v>
      </c>
      <c r="E276" s="32" t="s">
        <v>326</v>
      </c>
      <c r="F276" s="32" t="s">
        <v>326</v>
      </c>
      <c r="G276" s="33">
        <v>1757.49</v>
      </c>
      <c r="H276" s="34">
        <v>31359</v>
      </c>
      <c r="I276" t="s">
        <v>854</v>
      </c>
      <c r="J276" s="30" t="s">
        <v>855</v>
      </c>
    </row>
    <row r="277" spans="1:10" ht="12.75" customHeight="1" x14ac:dyDescent="0.2">
      <c r="A277" s="32" t="s">
        <v>969</v>
      </c>
      <c r="B277" s="32" t="s">
        <v>970</v>
      </c>
      <c r="C277" s="32" t="s">
        <v>871</v>
      </c>
      <c r="D277" s="32" t="s">
        <v>219</v>
      </c>
      <c r="E277" s="32" t="s">
        <v>260</v>
      </c>
      <c r="F277" s="32" t="s">
        <v>919</v>
      </c>
      <c r="G277" s="33">
        <v>817</v>
      </c>
      <c r="H277" s="34">
        <v>43282</v>
      </c>
      <c r="I277" t="s">
        <v>854</v>
      </c>
      <c r="J277" s="30" t="s">
        <v>855</v>
      </c>
    </row>
    <row r="278" spans="1:10" ht="12.75" customHeight="1" x14ac:dyDescent="0.2">
      <c r="A278" s="32" t="s">
        <v>971</v>
      </c>
      <c r="B278" s="32" t="s">
        <v>972</v>
      </c>
      <c r="C278" s="32" t="s">
        <v>871</v>
      </c>
      <c r="D278" s="32" t="s">
        <v>226</v>
      </c>
      <c r="E278" s="32" t="s">
        <v>973</v>
      </c>
      <c r="F278" s="32" t="s">
        <v>973</v>
      </c>
      <c r="G278" s="33">
        <v>1863.7</v>
      </c>
      <c r="H278" s="34">
        <v>33329</v>
      </c>
      <c r="I278" t="s">
        <v>854</v>
      </c>
      <c r="J278" s="30" t="s">
        <v>855</v>
      </c>
    </row>
    <row r="279" spans="1:10" ht="12.75" customHeight="1" x14ac:dyDescent="0.2">
      <c r="A279" s="32" t="s">
        <v>974</v>
      </c>
      <c r="B279" s="32" t="s">
        <v>975</v>
      </c>
      <c r="C279" s="32" t="s">
        <v>853</v>
      </c>
      <c r="D279" s="32" t="s">
        <v>226</v>
      </c>
      <c r="E279" s="32" t="s">
        <v>976</v>
      </c>
      <c r="F279" s="32" t="s">
        <v>976</v>
      </c>
      <c r="G279" s="33">
        <v>2466.0700000000002</v>
      </c>
      <c r="H279" s="34">
        <v>32990</v>
      </c>
      <c r="I279" t="s">
        <v>854</v>
      </c>
      <c r="J279" s="30" t="s">
        <v>855</v>
      </c>
    </row>
    <row r="280" spans="1:10" ht="12.75" customHeight="1" x14ac:dyDescent="0.2">
      <c r="A280" s="32" t="s">
        <v>977</v>
      </c>
      <c r="B280" s="32" t="s">
        <v>978</v>
      </c>
      <c r="C280" s="32" t="s">
        <v>892</v>
      </c>
      <c r="D280" s="32" t="s">
        <v>226</v>
      </c>
      <c r="E280" s="32" t="s">
        <v>295</v>
      </c>
      <c r="F280" s="32" t="s">
        <v>295</v>
      </c>
      <c r="G280" s="33">
        <v>2247.41</v>
      </c>
      <c r="H280" s="34">
        <v>31336</v>
      </c>
      <c r="I280" t="s">
        <v>854</v>
      </c>
      <c r="J280" s="30" t="s">
        <v>855</v>
      </c>
    </row>
    <row r="281" spans="1:10" ht="12.75" customHeight="1" x14ac:dyDescent="0.2">
      <c r="A281" s="32" t="s">
        <v>979</v>
      </c>
      <c r="B281" s="32" t="s">
        <v>980</v>
      </c>
      <c r="C281" s="32" t="s">
        <v>858</v>
      </c>
      <c r="D281" s="32" t="s">
        <v>219</v>
      </c>
      <c r="E281" s="32" t="s">
        <v>264</v>
      </c>
      <c r="F281" s="32" t="s">
        <v>265</v>
      </c>
      <c r="G281" s="33">
        <v>733</v>
      </c>
      <c r="H281" s="34">
        <v>42736</v>
      </c>
      <c r="I281" t="s">
        <v>854</v>
      </c>
      <c r="J281" s="30" t="s">
        <v>855</v>
      </c>
    </row>
    <row r="282" spans="1:10" ht="12.75" customHeight="1" x14ac:dyDescent="0.2">
      <c r="A282" s="32" t="s">
        <v>981</v>
      </c>
      <c r="B282" s="32" t="s">
        <v>982</v>
      </c>
      <c r="C282" s="32" t="s">
        <v>858</v>
      </c>
      <c r="D282" s="32" t="s">
        <v>219</v>
      </c>
      <c r="E282" s="32" t="s">
        <v>983</v>
      </c>
      <c r="F282" s="32" t="s">
        <v>899</v>
      </c>
      <c r="G282" s="33">
        <v>2856</v>
      </c>
      <c r="H282" s="34">
        <v>41771</v>
      </c>
      <c r="I282" t="s">
        <v>854</v>
      </c>
      <c r="J282" s="30" t="s">
        <v>855</v>
      </c>
    </row>
    <row r="283" spans="1:10" ht="12.75" customHeight="1" x14ac:dyDescent="0.2">
      <c r="A283" s="32" t="s">
        <v>984</v>
      </c>
      <c r="B283" s="32" t="s">
        <v>985</v>
      </c>
      <c r="C283" s="32" t="s">
        <v>858</v>
      </c>
      <c r="D283" s="32" t="s">
        <v>226</v>
      </c>
      <c r="E283" s="32" t="s">
        <v>350</v>
      </c>
      <c r="F283" s="32" t="s">
        <v>350</v>
      </c>
      <c r="G283" s="33">
        <v>2839.12</v>
      </c>
      <c r="H283" s="34">
        <v>31503</v>
      </c>
      <c r="I283" t="s">
        <v>854</v>
      </c>
      <c r="J283" s="30" t="s">
        <v>855</v>
      </c>
    </row>
    <row r="284" spans="1:10" ht="12.75" customHeight="1" x14ac:dyDescent="0.2">
      <c r="A284" s="32" t="s">
        <v>986</v>
      </c>
      <c r="B284" s="32" t="s">
        <v>987</v>
      </c>
      <c r="C284" s="32" t="s">
        <v>858</v>
      </c>
      <c r="D284" s="32" t="s">
        <v>219</v>
      </c>
      <c r="E284" s="32" t="s">
        <v>898</v>
      </c>
      <c r="F284" s="32" t="s">
        <v>899</v>
      </c>
      <c r="G284" s="33">
        <v>3340</v>
      </c>
      <c r="H284" s="34">
        <v>38364</v>
      </c>
      <c r="I284" t="s">
        <v>854</v>
      </c>
      <c r="J284" s="30" t="s">
        <v>855</v>
      </c>
    </row>
    <row r="285" spans="1:10" ht="12.75" customHeight="1" x14ac:dyDescent="0.2">
      <c r="A285" s="32" t="s">
        <v>988</v>
      </c>
      <c r="B285" s="32" t="s">
        <v>989</v>
      </c>
      <c r="C285" s="32" t="s">
        <v>990</v>
      </c>
      <c r="D285" s="32" t="s">
        <v>219</v>
      </c>
      <c r="E285" s="32" t="s">
        <v>279</v>
      </c>
      <c r="F285" s="32" t="s">
        <v>523</v>
      </c>
      <c r="G285" s="33">
        <v>1676</v>
      </c>
      <c r="H285" s="34">
        <v>43160</v>
      </c>
      <c r="I285" t="s">
        <v>991</v>
      </c>
      <c r="J285" s="30">
        <v>1803206323</v>
      </c>
    </row>
    <row r="286" spans="1:10" ht="12.75" customHeight="1" x14ac:dyDescent="0.2">
      <c r="A286" s="32" t="s">
        <v>992</v>
      </c>
      <c r="B286" s="32" t="s">
        <v>993</v>
      </c>
      <c r="C286" s="32" t="s">
        <v>994</v>
      </c>
      <c r="D286" s="32" t="s">
        <v>219</v>
      </c>
      <c r="E286" s="32" t="s">
        <v>220</v>
      </c>
      <c r="F286" s="32" t="s">
        <v>995</v>
      </c>
      <c r="G286" s="33">
        <v>2034</v>
      </c>
      <c r="H286" s="34">
        <v>42979</v>
      </c>
      <c r="I286" t="s">
        <v>991</v>
      </c>
      <c r="J286" s="30">
        <v>1803206323</v>
      </c>
    </row>
    <row r="287" spans="1:10" ht="12.75" customHeight="1" x14ac:dyDescent="0.2">
      <c r="A287" s="32" t="s">
        <v>996</v>
      </c>
      <c r="B287" s="32" t="s">
        <v>997</v>
      </c>
      <c r="C287" s="32" t="s">
        <v>994</v>
      </c>
      <c r="D287" s="32" t="s">
        <v>219</v>
      </c>
      <c r="E287" s="32" t="s">
        <v>269</v>
      </c>
      <c r="F287" s="32" t="s">
        <v>601</v>
      </c>
      <c r="G287" s="33">
        <v>1412</v>
      </c>
      <c r="H287" s="34">
        <v>43191</v>
      </c>
      <c r="I287" t="s">
        <v>991</v>
      </c>
      <c r="J287" s="30">
        <v>1803206323</v>
      </c>
    </row>
    <row r="288" spans="1:10" ht="12.75" customHeight="1" x14ac:dyDescent="0.2">
      <c r="A288" s="32" t="s">
        <v>998</v>
      </c>
      <c r="B288" s="32" t="s">
        <v>999</v>
      </c>
      <c r="C288" s="32" t="s">
        <v>994</v>
      </c>
      <c r="D288" s="32" t="s">
        <v>219</v>
      </c>
      <c r="E288" s="32" t="s">
        <v>394</v>
      </c>
      <c r="F288" s="32" t="s">
        <v>595</v>
      </c>
      <c r="G288" s="33">
        <v>1212</v>
      </c>
      <c r="H288" s="34">
        <v>40308</v>
      </c>
      <c r="I288" t="s">
        <v>991</v>
      </c>
      <c r="J288" s="30">
        <v>1803206323</v>
      </c>
    </row>
    <row r="289" spans="1:10" ht="12.75" customHeight="1" x14ac:dyDescent="0.2">
      <c r="A289" s="32" t="s">
        <v>1000</v>
      </c>
      <c r="B289" s="32" t="s">
        <v>1001</v>
      </c>
      <c r="C289" s="32" t="s">
        <v>990</v>
      </c>
      <c r="D289" s="32" t="s">
        <v>219</v>
      </c>
      <c r="E289" s="32" t="s">
        <v>394</v>
      </c>
      <c r="F289" s="32" t="s">
        <v>1002</v>
      </c>
      <c r="G289" s="33">
        <v>1212</v>
      </c>
      <c r="H289" s="34">
        <v>40186</v>
      </c>
      <c r="I289" t="s">
        <v>991</v>
      </c>
      <c r="J289" s="30">
        <v>1803206323</v>
      </c>
    </row>
    <row r="290" spans="1:10" ht="12.75" customHeight="1" x14ac:dyDescent="0.2">
      <c r="A290" s="32" t="s">
        <v>1003</v>
      </c>
      <c r="B290" s="32" t="s">
        <v>1004</v>
      </c>
      <c r="C290" s="32" t="s">
        <v>990</v>
      </c>
      <c r="D290" s="32" t="s">
        <v>219</v>
      </c>
      <c r="E290" s="32" t="s">
        <v>279</v>
      </c>
      <c r="F290" s="32" t="s">
        <v>1005</v>
      </c>
      <c r="G290" s="33">
        <v>1676</v>
      </c>
      <c r="H290" s="34">
        <v>42979</v>
      </c>
      <c r="I290" t="s">
        <v>991</v>
      </c>
      <c r="J290" s="30">
        <v>1803206323</v>
      </c>
    </row>
    <row r="291" spans="1:10" ht="12.75" customHeight="1" x14ac:dyDescent="0.2">
      <c r="A291" s="32" t="s">
        <v>1006</v>
      </c>
      <c r="B291" s="32" t="s">
        <v>1007</v>
      </c>
      <c r="C291" s="32" t="s">
        <v>1008</v>
      </c>
      <c r="D291" s="32" t="s">
        <v>219</v>
      </c>
      <c r="E291" s="32" t="s">
        <v>260</v>
      </c>
      <c r="F291" s="32" t="s">
        <v>1009</v>
      </c>
      <c r="G291" s="33">
        <v>817</v>
      </c>
      <c r="H291" s="34">
        <v>42887</v>
      </c>
      <c r="I291" t="s">
        <v>1010</v>
      </c>
      <c r="J291" s="30">
        <v>1707732051</v>
      </c>
    </row>
    <row r="292" spans="1:10" ht="12.75" customHeight="1" x14ac:dyDescent="0.2">
      <c r="A292" s="32" t="s">
        <v>1011</v>
      </c>
      <c r="B292" s="32" t="s">
        <v>1012</v>
      </c>
      <c r="C292" s="32" t="s">
        <v>1013</v>
      </c>
      <c r="D292" s="32" t="s">
        <v>219</v>
      </c>
      <c r="E292" s="32" t="s">
        <v>233</v>
      </c>
      <c r="F292" s="32" t="s">
        <v>632</v>
      </c>
      <c r="G292" s="33">
        <v>1760</v>
      </c>
      <c r="H292" s="34">
        <v>43101</v>
      </c>
      <c r="I292" t="s">
        <v>1014</v>
      </c>
      <c r="J292" s="30" t="s">
        <v>1015</v>
      </c>
    </row>
    <row r="293" spans="1:10" ht="12.75" customHeight="1" x14ac:dyDescent="0.2">
      <c r="A293" s="32" t="s">
        <v>1016</v>
      </c>
      <c r="B293" s="32" t="s">
        <v>1017</v>
      </c>
      <c r="C293" s="32" t="s">
        <v>1013</v>
      </c>
      <c r="D293" s="32" t="s">
        <v>588</v>
      </c>
      <c r="E293" s="32" t="s">
        <v>264</v>
      </c>
      <c r="F293" s="32" t="s">
        <v>265</v>
      </c>
      <c r="G293" s="33">
        <v>733</v>
      </c>
      <c r="H293" s="34">
        <v>42887</v>
      </c>
      <c r="I293" t="s">
        <v>1014</v>
      </c>
      <c r="J293" s="30" t="s">
        <v>1015</v>
      </c>
    </row>
    <row r="294" spans="1:10" ht="12.75" customHeight="1" x14ac:dyDescent="0.2">
      <c r="A294" s="32" t="s">
        <v>1018</v>
      </c>
      <c r="B294" s="32" t="s">
        <v>1019</v>
      </c>
      <c r="C294" s="32" t="s">
        <v>1013</v>
      </c>
      <c r="D294" s="32" t="s">
        <v>219</v>
      </c>
      <c r="E294" s="32" t="s">
        <v>394</v>
      </c>
      <c r="F294" s="32" t="s">
        <v>889</v>
      </c>
      <c r="G294" s="33">
        <v>1212</v>
      </c>
      <c r="H294" s="34">
        <v>42887</v>
      </c>
      <c r="I294" t="s">
        <v>1014</v>
      </c>
      <c r="J294" s="30" t="s">
        <v>1015</v>
      </c>
    </row>
    <row r="295" spans="1:10" ht="12.75" customHeight="1" x14ac:dyDescent="0.2">
      <c r="A295" s="32" t="s">
        <v>1020</v>
      </c>
      <c r="B295" s="32" t="s">
        <v>1021</v>
      </c>
      <c r="C295" s="32" t="s">
        <v>1013</v>
      </c>
      <c r="D295" s="32" t="s">
        <v>219</v>
      </c>
      <c r="E295" s="32" t="s">
        <v>394</v>
      </c>
      <c r="F295" s="32" t="s">
        <v>889</v>
      </c>
      <c r="G295" s="33">
        <v>1212</v>
      </c>
      <c r="H295" s="34">
        <v>41253</v>
      </c>
      <c r="I295" t="s">
        <v>1014</v>
      </c>
      <c r="J295" s="30" t="s">
        <v>1015</v>
      </c>
    </row>
    <row r="296" spans="1:10" ht="12.75" customHeight="1" x14ac:dyDescent="0.2">
      <c r="A296" s="32" t="s">
        <v>1022</v>
      </c>
      <c r="B296" s="32" t="s">
        <v>1023</v>
      </c>
      <c r="C296" s="32" t="s">
        <v>1013</v>
      </c>
      <c r="D296" s="32" t="s">
        <v>219</v>
      </c>
      <c r="E296" s="32" t="s">
        <v>580</v>
      </c>
      <c r="F296" s="32" t="s">
        <v>1024</v>
      </c>
      <c r="G296" s="33">
        <v>2641</v>
      </c>
      <c r="H296" s="34">
        <v>39785</v>
      </c>
      <c r="I296" t="s">
        <v>1014</v>
      </c>
      <c r="J296" s="30" t="s">
        <v>1015</v>
      </c>
    </row>
    <row r="297" spans="1:10" ht="12.75" customHeight="1" x14ac:dyDescent="0.2">
      <c r="A297" s="32" t="s">
        <v>1025</v>
      </c>
      <c r="B297" s="32" t="s">
        <v>1026</v>
      </c>
      <c r="C297" s="32" t="s">
        <v>1013</v>
      </c>
      <c r="D297" s="32" t="s">
        <v>226</v>
      </c>
      <c r="E297" s="32" t="s">
        <v>298</v>
      </c>
      <c r="F297" s="32" t="s">
        <v>298</v>
      </c>
      <c r="G297" s="33">
        <v>1500.12</v>
      </c>
      <c r="H297" s="34">
        <v>33543</v>
      </c>
      <c r="I297" t="s">
        <v>1014</v>
      </c>
      <c r="J297" s="30" t="s">
        <v>1015</v>
      </c>
    </row>
    <row r="298" spans="1:10" ht="12.75" customHeight="1" x14ac:dyDescent="0.2">
      <c r="A298" s="32" t="s">
        <v>1027</v>
      </c>
      <c r="B298" s="32" t="s">
        <v>1028</v>
      </c>
      <c r="C298" s="32" t="s">
        <v>1013</v>
      </c>
      <c r="D298" s="32" t="s">
        <v>219</v>
      </c>
      <c r="E298" s="32" t="s">
        <v>264</v>
      </c>
      <c r="F298" s="32" t="s">
        <v>265</v>
      </c>
      <c r="G298" s="33">
        <v>733</v>
      </c>
      <c r="H298" s="34">
        <v>43191</v>
      </c>
      <c r="I298" t="s">
        <v>1014</v>
      </c>
      <c r="J298" s="30" t="s">
        <v>1015</v>
      </c>
    </row>
    <row r="299" spans="1:10" ht="12.75" customHeight="1" x14ac:dyDescent="0.2">
      <c r="A299" s="32" t="s">
        <v>1029</v>
      </c>
      <c r="B299" s="32" t="s">
        <v>1030</v>
      </c>
      <c r="C299" s="32" t="s">
        <v>1031</v>
      </c>
      <c r="D299" s="32" t="s">
        <v>226</v>
      </c>
      <c r="E299" s="32" t="s">
        <v>1032</v>
      </c>
      <c r="F299" s="32" t="s">
        <v>1032</v>
      </c>
      <c r="G299" s="33">
        <v>2238.0500000000002</v>
      </c>
      <c r="H299" s="34">
        <v>33605</v>
      </c>
      <c r="I299" t="s">
        <v>1033</v>
      </c>
      <c r="J299" s="30" t="s">
        <v>1034</v>
      </c>
    </row>
    <row r="300" spans="1:10" ht="12.75" customHeight="1" x14ac:dyDescent="0.2">
      <c r="A300" s="32" t="s">
        <v>1035</v>
      </c>
      <c r="B300" s="32" t="s">
        <v>1036</v>
      </c>
      <c r="C300" s="32" t="s">
        <v>1037</v>
      </c>
      <c r="D300" s="32" t="s">
        <v>226</v>
      </c>
      <c r="E300" s="32" t="s">
        <v>866</v>
      </c>
      <c r="F300" s="32" t="s">
        <v>866</v>
      </c>
      <c r="G300" s="33">
        <v>3340</v>
      </c>
      <c r="H300" s="34">
        <v>33512</v>
      </c>
      <c r="I300" t="s">
        <v>1033</v>
      </c>
      <c r="J300" s="30" t="s">
        <v>1034</v>
      </c>
    </row>
    <row r="301" spans="1:10" ht="12.75" customHeight="1" x14ac:dyDescent="0.2">
      <c r="A301" s="32" t="s">
        <v>1038</v>
      </c>
      <c r="B301" s="32" t="s">
        <v>1039</v>
      </c>
      <c r="C301" s="32" t="s">
        <v>1040</v>
      </c>
      <c r="D301" s="32" t="s">
        <v>226</v>
      </c>
      <c r="E301" s="32" t="s">
        <v>598</v>
      </c>
      <c r="F301" s="32" t="s">
        <v>598</v>
      </c>
      <c r="G301" s="33">
        <v>2191.14</v>
      </c>
      <c r="H301" s="34">
        <v>32509</v>
      </c>
      <c r="I301" t="s">
        <v>1033</v>
      </c>
      <c r="J301" s="30" t="s">
        <v>1034</v>
      </c>
    </row>
    <row r="302" spans="1:10" ht="12.75" customHeight="1" x14ac:dyDescent="0.2">
      <c r="A302" s="32" t="s">
        <v>1041</v>
      </c>
      <c r="B302" s="32" t="s">
        <v>1042</v>
      </c>
      <c r="C302" s="32" t="s">
        <v>1043</v>
      </c>
      <c r="D302" s="32" t="s">
        <v>226</v>
      </c>
      <c r="E302" s="32" t="s">
        <v>340</v>
      </c>
      <c r="F302" s="32" t="s">
        <v>340</v>
      </c>
      <c r="G302" s="33">
        <v>1521.55</v>
      </c>
      <c r="H302" s="34">
        <v>33420</v>
      </c>
      <c r="I302" t="s">
        <v>1033</v>
      </c>
      <c r="J302" s="30" t="s">
        <v>1034</v>
      </c>
    </row>
    <row r="303" spans="1:10" ht="12.75" customHeight="1" x14ac:dyDescent="0.2">
      <c r="A303" s="32" t="s">
        <v>1044</v>
      </c>
      <c r="B303" s="32" t="s">
        <v>1045</v>
      </c>
      <c r="C303" s="32" t="s">
        <v>1031</v>
      </c>
      <c r="D303" s="32" t="s">
        <v>226</v>
      </c>
      <c r="E303" s="32" t="s">
        <v>1046</v>
      </c>
      <c r="F303" s="32" t="s">
        <v>1046</v>
      </c>
      <c r="G303" s="33">
        <v>2859</v>
      </c>
      <c r="H303" s="34">
        <v>33875</v>
      </c>
      <c r="I303" t="s">
        <v>1033</v>
      </c>
      <c r="J303" s="30" t="s">
        <v>1034</v>
      </c>
    </row>
    <row r="304" spans="1:10" ht="12.75" customHeight="1" x14ac:dyDescent="0.2">
      <c r="A304" s="32" t="s">
        <v>1047</v>
      </c>
      <c r="B304" s="32" t="s">
        <v>1048</v>
      </c>
      <c r="C304" s="32" t="s">
        <v>1031</v>
      </c>
      <c r="D304" s="32" t="s">
        <v>226</v>
      </c>
      <c r="E304" s="32" t="s">
        <v>1049</v>
      </c>
      <c r="F304" s="32" t="s">
        <v>1049</v>
      </c>
      <c r="G304" s="33">
        <v>2951.07</v>
      </c>
      <c r="H304" s="34">
        <v>33560</v>
      </c>
      <c r="I304" t="s">
        <v>1033</v>
      </c>
      <c r="J304" s="30" t="s">
        <v>1034</v>
      </c>
    </row>
    <row r="305" spans="1:10" ht="12.75" customHeight="1" x14ac:dyDescent="0.2">
      <c r="A305" s="32" t="s">
        <v>1050</v>
      </c>
      <c r="B305" s="32" t="s">
        <v>1051</v>
      </c>
      <c r="C305" s="32" t="s">
        <v>1031</v>
      </c>
      <c r="D305" s="32" t="s">
        <v>226</v>
      </c>
      <c r="E305" s="32" t="s">
        <v>1052</v>
      </c>
      <c r="F305" s="32" t="s">
        <v>1052</v>
      </c>
      <c r="G305" s="33">
        <v>2745.54</v>
      </c>
      <c r="H305" s="34">
        <v>34213</v>
      </c>
      <c r="I305" t="s">
        <v>1033</v>
      </c>
      <c r="J305" s="30" t="s">
        <v>1034</v>
      </c>
    </row>
    <row r="306" spans="1:10" ht="12.75" customHeight="1" x14ac:dyDescent="0.2">
      <c r="A306" s="32" t="s">
        <v>1053</v>
      </c>
      <c r="B306" s="32" t="s">
        <v>1054</v>
      </c>
      <c r="C306" s="32" t="s">
        <v>1031</v>
      </c>
      <c r="D306" s="32" t="s">
        <v>226</v>
      </c>
      <c r="E306" s="32" t="s">
        <v>1055</v>
      </c>
      <c r="F306" s="32" t="s">
        <v>1055</v>
      </c>
      <c r="G306" s="33">
        <v>2856.99</v>
      </c>
      <c r="H306" s="34">
        <v>33605</v>
      </c>
      <c r="I306" t="s">
        <v>1033</v>
      </c>
      <c r="J306" s="30" t="s">
        <v>1034</v>
      </c>
    </row>
    <row r="307" spans="1:10" ht="12.75" customHeight="1" x14ac:dyDescent="0.2">
      <c r="A307" s="32" t="s">
        <v>1056</v>
      </c>
      <c r="B307" s="32" t="s">
        <v>1057</v>
      </c>
      <c r="C307" s="32" t="s">
        <v>1058</v>
      </c>
      <c r="D307" s="32" t="s">
        <v>226</v>
      </c>
      <c r="E307" s="32" t="s">
        <v>1059</v>
      </c>
      <c r="F307" s="32" t="s">
        <v>1059</v>
      </c>
      <c r="G307" s="33">
        <v>2759.19</v>
      </c>
      <c r="H307" s="34">
        <v>33826</v>
      </c>
      <c r="I307" t="s">
        <v>1033</v>
      </c>
      <c r="J307" s="30" t="s">
        <v>1034</v>
      </c>
    </row>
    <row r="308" spans="1:10" ht="12.75" customHeight="1" x14ac:dyDescent="0.2">
      <c r="A308" s="32" t="s">
        <v>1060</v>
      </c>
      <c r="B308" s="32" t="s">
        <v>1061</v>
      </c>
      <c r="C308" s="32" t="s">
        <v>1043</v>
      </c>
      <c r="D308" s="32" t="s">
        <v>219</v>
      </c>
      <c r="E308" s="32" t="s">
        <v>301</v>
      </c>
      <c r="F308" s="32" t="s">
        <v>548</v>
      </c>
      <c r="G308" s="33">
        <v>527</v>
      </c>
      <c r="H308" s="34">
        <v>43040</v>
      </c>
      <c r="I308" t="s">
        <v>1033</v>
      </c>
      <c r="J308" s="30" t="s">
        <v>1034</v>
      </c>
    </row>
    <row r="309" spans="1:10" ht="12.75" customHeight="1" x14ac:dyDescent="0.2">
      <c r="A309" s="32" t="s">
        <v>1062</v>
      </c>
      <c r="B309" s="32" t="s">
        <v>1063</v>
      </c>
      <c r="C309" s="32" t="s">
        <v>1043</v>
      </c>
      <c r="D309" s="32" t="s">
        <v>219</v>
      </c>
      <c r="E309" s="32" t="s">
        <v>260</v>
      </c>
      <c r="F309" s="32" t="s">
        <v>1064</v>
      </c>
      <c r="G309" s="33">
        <v>817</v>
      </c>
      <c r="H309" s="34">
        <v>43009</v>
      </c>
      <c r="I309" t="s">
        <v>1033</v>
      </c>
      <c r="J309" s="30" t="s">
        <v>1034</v>
      </c>
    </row>
    <row r="310" spans="1:10" ht="12.75" customHeight="1" x14ac:dyDescent="0.2">
      <c r="A310" s="32" t="s">
        <v>1065</v>
      </c>
      <c r="B310" s="32" t="s">
        <v>1066</v>
      </c>
      <c r="C310" s="32" t="s">
        <v>1040</v>
      </c>
      <c r="D310" s="32" t="s">
        <v>226</v>
      </c>
      <c r="E310" s="32" t="s">
        <v>1067</v>
      </c>
      <c r="F310" s="32" t="s">
        <v>1067</v>
      </c>
      <c r="G310" s="33">
        <v>1899.33</v>
      </c>
      <c r="H310" s="34">
        <v>32671</v>
      </c>
      <c r="I310" t="s">
        <v>1033</v>
      </c>
      <c r="J310" s="30" t="s">
        <v>1034</v>
      </c>
    </row>
    <row r="311" spans="1:10" ht="12.75" customHeight="1" x14ac:dyDescent="0.2">
      <c r="A311" s="32" t="s">
        <v>1068</v>
      </c>
      <c r="B311" s="32" t="s">
        <v>1069</v>
      </c>
      <c r="C311" s="32" t="s">
        <v>1058</v>
      </c>
      <c r="D311" s="32" t="s">
        <v>219</v>
      </c>
      <c r="E311" s="32" t="s">
        <v>336</v>
      </c>
      <c r="F311" s="32" t="s">
        <v>1070</v>
      </c>
      <c r="G311" s="33">
        <v>2308</v>
      </c>
      <c r="H311" s="34">
        <v>42387</v>
      </c>
      <c r="I311" t="s">
        <v>1033</v>
      </c>
      <c r="J311" s="30" t="s">
        <v>1034</v>
      </c>
    </row>
    <row r="312" spans="1:10" ht="12.75" customHeight="1" x14ac:dyDescent="0.2">
      <c r="A312" s="32" t="s">
        <v>1071</v>
      </c>
      <c r="B312" s="32" t="s">
        <v>1072</v>
      </c>
      <c r="C312" s="32" t="s">
        <v>1031</v>
      </c>
      <c r="D312" s="32" t="s">
        <v>226</v>
      </c>
      <c r="E312" s="32" t="s">
        <v>220</v>
      </c>
      <c r="F312" s="32" t="s">
        <v>1073</v>
      </c>
      <c r="G312" s="33">
        <v>2034</v>
      </c>
      <c r="H312" s="34">
        <v>41243</v>
      </c>
      <c r="I312" t="s">
        <v>1033</v>
      </c>
      <c r="J312" s="30" t="s">
        <v>1034</v>
      </c>
    </row>
    <row r="313" spans="1:10" ht="12.75" customHeight="1" x14ac:dyDescent="0.2">
      <c r="A313" s="32" t="s">
        <v>1074</v>
      </c>
      <c r="B313" s="32" t="s">
        <v>1075</v>
      </c>
      <c r="C313" s="32" t="s">
        <v>1031</v>
      </c>
      <c r="D313" s="32" t="s">
        <v>226</v>
      </c>
      <c r="E313" s="32" t="s">
        <v>1076</v>
      </c>
      <c r="F313" s="32" t="s">
        <v>1076</v>
      </c>
      <c r="G313" s="33">
        <v>2179.6999999999998</v>
      </c>
      <c r="H313" s="34">
        <v>33329</v>
      </c>
      <c r="I313" t="s">
        <v>1033</v>
      </c>
      <c r="J313" s="30" t="s">
        <v>1034</v>
      </c>
    </row>
    <row r="314" spans="1:10" ht="12.75" customHeight="1" x14ac:dyDescent="0.2">
      <c r="A314" s="32" t="s">
        <v>1077</v>
      </c>
      <c r="B314" s="32" t="s">
        <v>1078</v>
      </c>
      <c r="C314" s="32" t="s">
        <v>1040</v>
      </c>
      <c r="D314" s="32" t="s">
        <v>226</v>
      </c>
      <c r="E314" s="32" t="s">
        <v>479</v>
      </c>
      <c r="F314" s="32" t="s">
        <v>479</v>
      </c>
      <c r="G314" s="33">
        <v>2767.76</v>
      </c>
      <c r="H314" s="34">
        <v>33162</v>
      </c>
      <c r="I314" t="s">
        <v>1033</v>
      </c>
      <c r="J314" s="30" t="s">
        <v>1034</v>
      </c>
    </row>
    <row r="315" spans="1:10" ht="12.75" customHeight="1" x14ac:dyDescent="0.2">
      <c r="A315" s="32" t="s">
        <v>1079</v>
      </c>
      <c r="B315" s="32" t="s">
        <v>1080</v>
      </c>
      <c r="C315" s="32" t="s">
        <v>1058</v>
      </c>
      <c r="D315" s="32" t="s">
        <v>219</v>
      </c>
      <c r="E315" s="32" t="s">
        <v>233</v>
      </c>
      <c r="F315" s="32" t="s">
        <v>1081</v>
      </c>
      <c r="G315" s="33">
        <v>1760</v>
      </c>
      <c r="H315" s="34">
        <v>42401</v>
      </c>
      <c r="I315" t="s">
        <v>1033</v>
      </c>
      <c r="J315" s="30" t="s">
        <v>1034</v>
      </c>
    </row>
    <row r="316" spans="1:10" ht="12.75" customHeight="1" x14ac:dyDescent="0.2">
      <c r="A316" s="32" t="s">
        <v>1082</v>
      </c>
      <c r="B316" s="32" t="s">
        <v>1083</v>
      </c>
      <c r="C316" s="32" t="s">
        <v>1058</v>
      </c>
      <c r="D316" s="32" t="s">
        <v>226</v>
      </c>
      <c r="E316" s="32" t="s">
        <v>902</v>
      </c>
      <c r="F316" s="32" t="s">
        <v>902</v>
      </c>
      <c r="G316" s="33">
        <v>1908.07</v>
      </c>
      <c r="H316" s="34">
        <v>32596</v>
      </c>
      <c r="I316" t="s">
        <v>1033</v>
      </c>
      <c r="J316" s="30" t="s">
        <v>1034</v>
      </c>
    </row>
    <row r="317" spans="1:10" ht="12.75" customHeight="1" x14ac:dyDescent="0.2">
      <c r="A317" s="32" t="s">
        <v>1084</v>
      </c>
      <c r="B317" s="32" t="s">
        <v>1085</v>
      </c>
      <c r="C317" s="32" t="s">
        <v>1040</v>
      </c>
      <c r="D317" s="32" t="s">
        <v>226</v>
      </c>
      <c r="E317" s="32" t="s">
        <v>1086</v>
      </c>
      <c r="F317" s="32" t="s">
        <v>1086</v>
      </c>
      <c r="G317" s="33">
        <v>2428.0500000000002</v>
      </c>
      <c r="H317" s="34">
        <v>33573</v>
      </c>
      <c r="I317" t="s">
        <v>1033</v>
      </c>
      <c r="J317" s="30" t="s">
        <v>1034</v>
      </c>
    </row>
    <row r="318" spans="1:10" ht="12.75" customHeight="1" x14ac:dyDescent="0.2">
      <c r="A318" s="32" t="s">
        <v>1087</v>
      </c>
      <c r="B318" s="32" t="s">
        <v>1088</v>
      </c>
      <c r="C318" s="32" t="s">
        <v>1040</v>
      </c>
      <c r="D318" s="32" t="s">
        <v>226</v>
      </c>
      <c r="E318" s="32" t="s">
        <v>254</v>
      </c>
      <c r="F318" s="32" t="s">
        <v>254</v>
      </c>
      <c r="G318" s="33">
        <v>2212.5300000000002</v>
      </c>
      <c r="H318" s="34">
        <v>33345</v>
      </c>
      <c r="I318" t="s">
        <v>1033</v>
      </c>
      <c r="J318" s="30" t="s">
        <v>1034</v>
      </c>
    </row>
    <row r="319" spans="1:10" ht="12.75" customHeight="1" x14ac:dyDescent="0.2">
      <c r="A319" s="32" t="s">
        <v>1089</v>
      </c>
      <c r="B319" s="32" t="s">
        <v>1090</v>
      </c>
      <c r="C319" s="32" t="s">
        <v>1031</v>
      </c>
      <c r="D319" s="32" t="s">
        <v>219</v>
      </c>
      <c r="E319" s="32" t="s">
        <v>220</v>
      </c>
      <c r="F319" s="32" t="s">
        <v>1091</v>
      </c>
      <c r="G319" s="33">
        <v>2034</v>
      </c>
      <c r="H319" s="34">
        <v>42917</v>
      </c>
      <c r="I319" t="s">
        <v>1033</v>
      </c>
      <c r="J319" s="30" t="s">
        <v>1034</v>
      </c>
    </row>
    <row r="320" spans="1:10" ht="12.75" customHeight="1" x14ac:dyDescent="0.2">
      <c r="A320" s="32" t="s">
        <v>1092</v>
      </c>
      <c r="B320" s="32" t="s">
        <v>1093</v>
      </c>
      <c r="C320" s="32" t="s">
        <v>1040</v>
      </c>
      <c r="D320" s="32" t="s">
        <v>226</v>
      </c>
      <c r="E320" s="32" t="s">
        <v>254</v>
      </c>
      <c r="F320" s="32" t="s">
        <v>254</v>
      </c>
      <c r="G320" s="33">
        <v>2117.9899999999998</v>
      </c>
      <c r="H320" s="34">
        <v>31001</v>
      </c>
      <c r="I320" t="s">
        <v>1033</v>
      </c>
      <c r="J320" s="30" t="s">
        <v>1034</v>
      </c>
    </row>
    <row r="321" spans="1:10" ht="12.75" customHeight="1" x14ac:dyDescent="0.2">
      <c r="A321" s="32" t="s">
        <v>1094</v>
      </c>
      <c r="B321" s="32" t="s">
        <v>1095</v>
      </c>
      <c r="C321" s="32" t="s">
        <v>1031</v>
      </c>
      <c r="D321" s="32" t="s">
        <v>226</v>
      </c>
      <c r="E321" s="32" t="s">
        <v>1096</v>
      </c>
      <c r="F321" s="32" t="s">
        <v>1096</v>
      </c>
      <c r="G321" s="33">
        <v>2705.62</v>
      </c>
      <c r="H321" s="34">
        <v>33392</v>
      </c>
      <c r="I321" t="s">
        <v>1033</v>
      </c>
      <c r="J321" s="30" t="s">
        <v>1034</v>
      </c>
    </row>
    <row r="322" spans="1:10" ht="12.75" customHeight="1" x14ac:dyDescent="0.2">
      <c r="A322" s="32" t="s">
        <v>1097</v>
      </c>
      <c r="B322" s="32" t="s">
        <v>1098</v>
      </c>
      <c r="C322" s="32" t="s">
        <v>1043</v>
      </c>
      <c r="D322" s="32" t="s">
        <v>219</v>
      </c>
      <c r="E322" s="32" t="s">
        <v>260</v>
      </c>
      <c r="F322" s="32" t="s">
        <v>1064</v>
      </c>
      <c r="G322" s="33">
        <v>817</v>
      </c>
      <c r="H322" s="34">
        <v>43009</v>
      </c>
      <c r="I322" t="s">
        <v>1033</v>
      </c>
      <c r="J322" s="30" t="s">
        <v>1034</v>
      </c>
    </row>
    <row r="323" spans="1:10" ht="12.75" customHeight="1" x14ac:dyDescent="0.2">
      <c r="A323" s="32" t="s">
        <v>1099</v>
      </c>
      <c r="B323" s="32" t="s">
        <v>1100</v>
      </c>
      <c r="C323" s="32" t="s">
        <v>1037</v>
      </c>
      <c r="D323" s="32" t="s">
        <v>219</v>
      </c>
      <c r="E323" s="32" t="s">
        <v>220</v>
      </c>
      <c r="F323" s="32" t="s">
        <v>1101</v>
      </c>
      <c r="G323" s="33">
        <v>2034</v>
      </c>
      <c r="H323" s="34">
        <v>42401</v>
      </c>
      <c r="I323" t="s">
        <v>1033</v>
      </c>
      <c r="J323" s="30" t="s">
        <v>1034</v>
      </c>
    </row>
    <row r="324" spans="1:10" ht="12.75" customHeight="1" x14ac:dyDescent="0.2">
      <c r="A324" s="32" t="s">
        <v>1102</v>
      </c>
      <c r="B324" s="32" t="s">
        <v>1103</v>
      </c>
      <c r="C324" s="32" t="s">
        <v>1031</v>
      </c>
      <c r="D324" s="32" t="s">
        <v>226</v>
      </c>
      <c r="E324" s="32" t="s">
        <v>1104</v>
      </c>
      <c r="F324" s="32" t="s">
        <v>1104</v>
      </c>
      <c r="G324" s="33">
        <v>2856.41</v>
      </c>
      <c r="H324" s="34">
        <v>29741</v>
      </c>
      <c r="I324" t="s">
        <v>1033</v>
      </c>
      <c r="J324" s="30" t="s">
        <v>1034</v>
      </c>
    </row>
    <row r="325" spans="1:10" ht="12.75" customHeight="1" x14ac:dyDescent="0.2">
      <c r="A325" s="32" t="s">
        <v>1105</v>
      </c>
      <c r="B325" s="32" t="s">
        <v>1106</v>
      </c>
      <c r="C325" s="32" t="s">
        <v>1043</v>
      </c>
      <c r="D325" s="32" t="s">
        <v>226</v>
      </c>
      <c r="E325" s="32" t="s">
        <v>1067</v>
      </c>
      <c r="F325" s="32" t="s">
        <v>1067</v>
      </c>
      <c r="G325" s="33">
        <v>1845.88</v>
      </c>
      <c r="H325" s="34">
        <v>33476</v>
      </c>
      <c r="I325" t="s">
        <v>1033</v>
      </c>
      <c r="J325" s="30" t="s">
        <v>1034</v>
      </c>
    </row>
    <row r="326" spans="1:10" ht="12.75" customHeight="1" x14ac:dyDescent="0.2">
      <c r="A326" s="32" t="s">
        <v>1107</v>
      </c>
      <c r="B326" s="32" t="s">
        <v>1108</v>
      </c>
      <c r="C326" s="32" t="s">
        <v>1037</v>
      </c>
      <c r="D326" s="32" t="s">
        <v>219</v>
      </c>
      <c r="E326" s="32" t="s">
        <v>233</v>
      </c>
      <c r="F326" s="32" t="s">
        <v>1109</v>
      </c>
      <c r="G326" s="33">
        <v>1760</v>
      </c>
      <c r="H326" s="34">
        <v>43191</v>
      </c>
      <c r="I326" t="s">
        <v>1033</v>
      </c>
      <c r="J326" s="30" t="s">
        <v>1034</v>
      </c>
    </row>
    <row r="327" spans="1:10" ht="12.75" customHeight="1" x14ac:dyDescent="0.2">
      <c r="A327" s="32" t="s">
        <v>1110</v>
      </c>
      <c r="B327" s="32" t="s">
        <v>1111</v>
      </c>
      <c r="C327" s="32" t="s">
        <v>1040</v>
      </c>
      <c r="D327" s="32" t="s">
        <v>226</v>
      </c>
      <c r="E327" s="32" t="s">
        <v>1112</v>
      </c>
      <c r="F327" s="32" t="s">
        <v>1112</v>
      </c>
      <c r="G327" s="33">
        <v>2056.4499999999998</v>
      </c>
      <c r="H327" s="34">
        <v>32751</v>
      </c>
      <c r="I327" t="s">
        <v>1033</v>
      </c>
      <c r="J327" s="30" t="s">
        <v>1034</v>
      </c>
    </row>
    <row r="328" spans="1:10" ht="12.75" customHeight="1" x14ac:dyDescent="0.2">
      <c r="A328" s="32" t="s">
        <v>1113</v>
      </c>
      <c r="B328" s="32" t="s">
        <v>1114</v>
      </c>
      <c r="C328" s="32" t="s">
        <v>1031</v>
      </c>
      <c r="D328" s="32" t="s">
        <v>226</v>
      </c>
      <c r="E328" s="32" t="s">
        <v>1115</v>
      </c>
      <c r="F328" s="32" t="s">
        <v>1115</v>
      </c>
      <c r="G328" s="33">
        <v>1934.49</v>
      </c>
      <c r="H328" s="34">
        <v>30011</v>
      </c>
      <c r="I328" t="s">
        <v>1033</v>
      </c>
      <c r="J328" s="30" t="s">
        <v>1034</v>
      </c>
    </row>
    <row r="329" spans="1:10" ht="12.75" customHeight="1" x14ac:dyDescent="0.2">
      <c r="A329" s="32" t="s">
        <v>1116</v>
      </c>
      <c r="B329" s="32" t="s">
        <v>1117</v>
      </c>
      <c r="C329" s="32" t="s">
        <v>1040</v>
      </c>
      <c r="D329" s="32" t="s">
        <v>219</v>
      </c>
      <c r="E329" s="32" t="s">
        <v>260</v>
      </c>
      <c r="F329" s="32" t="s">
        <v>1064</v>
      </c>
      <c r="G329" s="33">
        <v>817</v>
      </c>
      <c r="H329" s="34">
        <v>42948</v>
      </c>
      <c r="I329" t="s">
        <v>1033</v>
      </c>
      <c r="J329" s="30" t="s">
        <v>1034</v>
      </c>
    </row>
    <row r="330" spans="1:10" ht="12.75" customHeight="1" x14ac:dyDescent="0.2">
      <c r="A330" s="32" t="s">
        <v>1118</v>
      </c>
      <c r="B330" s="32" t="s">
        <v>1119</v>
      </c>
      <c r="C330" s="32" t="s">
        <v>1040</v>
      </c>
      <c r="D330" s="32" t="s">
        <v>226</v>
      </c>
      <c r="E330" s="32" t="s">
        <v>326</v>
      </c>
      <c r="F330" s="32" t="s">
        <v>326</v>
      </c>
      <c r="G330" s="33">
        <v>1804.11</v>
      </c>
      <c r="H330" s="34">
        <v>36528</v>
      </c>
      <c r="I330" t="s">
        <v>1033</v>
      </c>
      <c r="J330" s="30" t="s">
        <v>1034</v>
      </c>
    </row>
    <row r="331" spans="1:10" ht="12.75" customHeight="1" x14ac:dyDescent="0.2">
      <c r="A331" s="32" t="s">
        <v>1120</v>
      </c>
      <c r="B331" s="32" t="s">
        <v>1121</v>
      </c>
      <c r="C331" s="32" t="s">
        <v>1031</v>
      </c>
      <c r="D331" s="32" t="s">
        <v>219</v>
      </c>
      <c r="E331" s="32" t="s">
        <v>264</v>
      </c>
      <c r="F331" s="32" t="s">
        <v>1122</v>
      </c>
      <c r="G331" s="33">
        <v>733</v>
      </c>
      <c r="H331" s="34">
        <v>41442</v>
      </c>
      <c r="I331" t="s">
        <v>1033</v>
      </c>
      <c r="J331" s="30" t="s">
        <v>1034</v>
      </c>
    </row>
    <row r="332" spans="1:10" ht="12.75" customHeight="1" x14ac:dyDescent="0.2">
      <c r="A332" s="32" t="s">
        <v>1123</v>
      </c>
      <c r="B332" s="32" t="s">
        <v>1124</v>
      </c>
      <c r="C332" s="32" t="s">
        <v>1043</v>
      </c>
      <c r="D332" s="32" t="s">
        <v>219</v>
      </c>
      <c r="E332" s="32" t="s">
        <v>264</v>
      </c>
      <c r="F332" s="32" t="s">
        <v>265</v>
      </c>
      <c r="G332" s="33">
        <v>733</v>
      </c>
      <c r="H332" s="34">
        <v>43160</v>
      </c>
      <c r="I332" t="s">
        <v>1033</v>
      </c>
      <c r="J332" s="30" t="s">
        <v>1034</v>
      </c>
    </row>
    <row r="333" spans="1:10" ht="12.75" customHeight="1" x14ac:dyDescent="0.2">
      <c r="A333" s="32" t="s">
        <v>1125</v>
      </c>
      <c r="B333" s="32" t="s">
        <v>1126</v>
      </c>
      <c r="C333" s="32" t="s">
        <v>1031</v>
      </c>
      <c r="D333" s="32" t="s">
        <v>226</v>
      </c>
      <c r="E333" s="32" t="s">
        <v>514</v>
      </c>
      <c r="F333" s="32" t="s">
        <v>514</v>
      </c>
      <c r="G333" s="33">
        <v>1959.16</v>
      </c>
      <c r="H333" s="34">
        <v>33329</v>
      </c>
      <c r="I333" t="s">
        <v>1033</v>
      </c>
      <c r="J333" s="30" t="s">
        <v>1034</v>
      </c>
    </row>
    <row r="334" spans="1:10" ht="12.75" customHeight="1" x14ac:dyDescent="0.2">
      <c r="A334" s="32" t="s">
        <v>1127</v>
      </c>
      <c r="B334" s="32" t="s">
        <v>1128</v>
      </c>
      <c r="C334" s="32" t="s">
        <v>1058</v>
      </c>
      <c r="D334" s="32" t="s">
        <v>219</v>
      </c>
      <c r="E334" s="32" t="s">
        <v>233</v>
      </c>
      <c r="F334" s="32" t="s">
        <v>1081</v>
      </c>
      <c r="G334" s="33">
        <v>1760</v>
      </c>
      <c r="H334" s="34">
        <v>43191</v>
      </c>
      <c r="I334" t="s">
        <v>1033</v>
      </c>
      <c r="J334" s="30" t="s">
        <v>1034</v>
      </c>
    </row>
    <row r="335" spans="1:10" ht="12.75" customHeight="1" x14ac:dyDescent="0.2">
      <c r="A335" s="32" t="s">
        <v>1129</v>
      </c>
      <c r="B335" s="32" t="s">
        <v>1130</v>
      </c>
      <c r="C335" s="32" t="s">
        <v>1031</v>
      </c>
      <c r="D335" s="32" t="s">
        <v>226</v>
      </c>
      <c r="E335" s="32" t="s">
        <v>1131</v>
      </c>
      <c r="F335" s="32" t="s">
        <v>1131</v>
      </c>
      <c r="G335" s="33">
        <v>2836.41</v>
      </c>
      <c r="H335" s="34">
        <v>33329</v>
      </c>
      <c r="I335" t="s">
        <v>1033</v>
      </c>
      <c r="J335" s="30" t="s">
        <v>1034</v>
      </c>
    </row>
    <row r="336" spans="1:10" ht="12.75" customHeight="1" x14ac:dyDescent="0.2">
      <c r="A336" s="32" t="s">
        <v>1132</v>
      </c>
      <c r="B336" s="32" t="s">
        <v>1133</v>
      </c>
      <c r="C336" s="32" t="s">
        <v>1134</v>
      </c>
      <c r="D336" s="32" t="s">
        <v>219</v>
      </c>
      <c r="E336" s="32" t="s">
        <v>260</v>
      </c>
      <c r="F336" s="32" t="s">
        <v>1135</v>
      </c>
      <c r="G336" s="33">
        <v>817</v>
      </c>
      <c r="H336" s="34">
        <v>42917</v>
      </c>
      <c r="I336" t="s">
        <v>1136</v>
      </c>
      <c r="J336" s="30">
        <v>1713580080</v>
      </c>
    </row>
    <row r="337" spans="1:10" ht="12.75" customHeight="1" x14ac:dyDescent="0.2">
      <c r="A337" s="32" t="s">
        <v>1137</v>
      </c>
      <c r="B337" s="32" t="s">
        <v>1138</v>
      </c>
      <c r="C337" s="32" t="s">
        <v>1139</v>
      </c>
      <c r="D337" s="32" t="s">
        <v>219</v>
      </c>
      <c r="E337" s="32" t="s">
        <v>264</v>
      </c>
      <c r="F337" s="32" t="s">
        <v>265</v>
      </c>
      <c r="G337" s="33">
        <v>733</v>
      </c>
      <c r="H337" s="34">
        <v>42887</v>
      </c>
      <c r="I337" t="s">
        <v>1136</v>
      </c>
      <c r="J337" s="30">
        <v>1713580080</v>
      </c>
    </row>
    <row r="338" spans="1:10" ht="12.75" customHeight="1" x14ac:dyDescent="0.2">
      <c r="A338" s="32" t="s">
        <v>1140</v>
      </c>
      <c r="B338" s="32" t="s">
        <v>1141</v>
      </c>
      <c r="C338" s="32" t="s">
        <v>1142</v>
      </c>
      <c r="D338" s="32" t="s">
        <v>219</v>
      </c>
      <c r="E338" s="32" t="s">
        <v>264</v>
      </c>
      <c r="F338" s="32" t="s">
        <v>265</v>
      </c>
      <c r="G338" s="33">
        <v>733</v>
      </c>
      <c r="H338" s="34">
        <v>43221</v>
      </c>
      <c r="I338" t="s">
        <v>1136</v>
      </c>
      <c r="J338" s="30">
        <v>1713580080</v>
      </c>
    </row>
    <row r="339" spans="1:10" ht="12.75" customHeight="1" x14ac:dyDescent="0.2">
      <c r="A339" s="32" t="s">
        <v>1143</v>
      </c>
      <c r="B339" s="32" t="s">
        <v>1144</v>
      </c>
      <c r="C339" s="32" t="s">
        <v>1145</v>
      </c>
      <c r="D339" s="32" t="s">
        <v>219</v>
      </c>
      <c r="E339" s="32" t="s">
        <v>301</v>
      </c>
      <c r="F339" s="32" t="s">
        <v>548</v>
      </c>
      <c r="G339" s="33">
        <v>527</v>
      </c>
      <c r="H339" s="34">
        <v>43221</v>
      </c>
      <c r="I339" t="s">
        <v>1136</v>
      </c>
      <c r="J339" s="30">
        <v>1713580080</v>
      </c>
    </row>
    <row r="340" spans="1:10" ht="12.75" customHeight="1" x14ac:dyDescent="0.2">
      <c r="A340" s="32" t="s">
        <v>1146</v>
      </c>
      <c r="B340" s="32" t="s">
        <v>1147</v>
      </c>
      <c r="C340" s="32" t="s">
        <v>1148</v>
      </c>
      <c r="D340" s="32" t="s">
        <v>219</v>
      </c>
      <c r="E340" s="32" t="s">
        <v>264</v>
      </c>
      <c r="F340" s="32" t="s">
        <v>265</v>
      </c>
      <c r="G340" s="33">
        <v>733</v>
      </c>
      <c r="H340" s="34">
        <v>42917</v>
      </c>
      <c r="I340" t="s">
        <v>1136</v>
      </c>
      <c r="J340" s="30">
        <v>1713580080</v>
      </c>
    </row>
    <row r="341" spans="1:10" ht="12.75" customHeight="1" x14ac:dyDescent="0.2">
      <c r="A341" s="32" t="s">
        <v>1149</v>
      </c>
      <c r="B341" s="32" t="s">
        <v>1150</v>
      </c>
      <c r="C341" s="32" t="s">
        <v>1151</v>
      </c>
      <c r="D341" s="32" t="s">
        <v>219</v>
      </c>
      <c r="E341" s="32" t="s">
        <v>264</v>
      </c>
      <c r="F341" s="32" t="s">
        <v>265</v>
      </c>
      <c r="G341" s="33">
        <v>733</v>
      </c>
      <c r="H341" s="34">
        <v>42917</v>
      </c>
      <c r="I341" t="s">
        <v>1136</v>
      </c>
      <c r="J341" s="30">
        <v>1713580080</v>
      </c>
    </row>
    <row r="342" spans="1:10" ht="12.75" customHeight="1" x14ac:dyDescent="0.2">
      <c r="A342" s="32" t="s">
        <v>1152</v>
      </c>
      <c r="B342" s="32" t="s">
        <v>1153</v>
      </c>
      <c r="C342" s="32" t="s">
        <v>1145</v>
      </c>
      <c r="D342" s="32" t="s">
        <v>219</v>
      </c>
      <c r="E342" s="32" t="s">
        <v>264</v>
      </c>
      <c r="F342" s="32" t="s">
        <v>1154</v>
      </c>
      <c r="G342" s="33">
        <v>733</v>
      </c>
      <c r="H342" s="34">
        <v>42917</v>
      </c>
      <c r="I342" t="s">
        <v>1136</v>
      </c>
      <c r="J342" s="30">
        <v>1713580080</v>
      </c>
    </row>
    <row r="343" spans="1:10" ht="12.75" customHeight="1" x14ac:dyDescent="0.2">
      <c r="A343" s="32" t="s">
        <v>1155</v>
      </c>
      <c r="B343" s="32" t="s">
        <v>1156</v>
      </c>
      <c r="C343" s="32" t="s">
        <v>1157</v>
      </c>
      <c r="D343" s="32" t="s">
        <v>219</v>
      </c>
      <c r="E343" s="32" t="s">
        <v>260</v>
      </c>
      <c r="F343" s="32" t="s">
        <v>1135</v>
      </c>
      <c r="G343" s="33">
        <v>817</v>
      </c>
      <c r="H343" s="34">
        <v>42917</v>
      </c>
      <c r="I343" t="s">
        <v>1136</v>
      </c>
      <c r="J343" s="30">
        <v>1713580080</v>
      </c>
    </row>
    <row r="344" spans="1:10" ht="12.75" customHeight="1" x14ac:dyDescent="0.2">
      <c r="A344" s="32" t="s">
        <v>1158</v>
      </c>
      <c r="B344" s="32" t="s">
        <v>1159</v>
      </c>
      <c r="C344" s="32" t="s">
        <v>1160</v>
      </c>
      <c r="D344" s="32" t="s">
        <v>219</v>
      </c>
      <c r="E344" s="32" t="s">
        <v>260</v>
      </c>
      <c r="F344" s="32" t="s">
        <v>1135</v>
      </c>
      <c r="G344" s="33">
        <v>817</v>
      </c>
      <c r="H344" s="34">
        <v>43009</v>
      </c>
      <c r="I344" t="s">
        <v>1136</v>
      </c>
      <c r="J344" s="30">
        <v>1713580080</v>
      </c>
    </row>
    <row r="345" spans="1:10" ht="12.75" customHeight="1" x14ac:dyDescent="0.2">
      <c r="A345" s="32" t="s">
        <v>1161</v>
      </c>
      <c r="B345" s="32" t="s">
        <v>1162</v>
      </c>
      <c r="C345" s="32" t="s">
        <v>1163</v>
      </c>
      <c r="D345" s="32" t="s">
        <v>219</v>
      </c>
      <c r="E345" s="32" t="s">
        <v>264</v>
      </c>
      <c r="F345" s="32" t="s">
        <v>265</v>
      </c>
      <c r="G345" s="33">
        <v>733</v>
      </c>
      <c r="H345" s="34">
        <v>43101</v>
      </c>
      <c r="I345" t="s">
        <v>1136</v>
      </c>
      <c r="J345" s="30">
        <v>1713580080</v>
      </c>
    </row>
    <row r="346" spans="1:10" ht="12.75" customHeight="1" x14ac:dyDescent="0.2">
      <c r="A346" s="32" t="s">
        <v>1164</v>
      </c>
      <c r="B346" s="32" t="s">
        <v>1165</v>
      </c>
      <c r="C346" s="32" t="s">
        <v>1166</v>
      </c>
      <c r="D346" s="32" t="s">
        <v>219</v>
      </c>
      <c r="E346" s="32" t="s">
        <v>264</v>
      </c>
      <c r="F346" s="32" t="s">
        <v>265</v>
      </c>
      <c r="G346" s="33">
        <v>733</v>
      </c>
      <c r="H346" s="34">
        <v>43191</v>
      </c>
      <c r="I346" t="s">
        <v>1136</v>
      </c>
      <c r="J346" s="30">
        <v>1713580080</v>
      </c>
    </row>
    <row r="347" spans="1:10" ht="12.75" customHeight="1" x14ac:dyDescent="0.2">
      <c r="A347" s="32" t="s">
        <v>1167</v>
      </c>
      <c r="B347" s="32" t="s">
        <v>1168</v>
      </c>
      <c r="C347" s="32" t="s">
        <v>1145</v>
      </c>
      <c r="D347" s="32" t="s">
        <v>219</v>
      </c>
      <c r="E347" s="32" t="s">
        <v>233</v>
      </c>
      <c r="F347" s="32" t="s">
        <v>1169</v>
      </c>
      <c r="G347" s="33">
        <v>1760</v>
      </c>
      <c r="H347" s="34">
        <v>43221</v>
      </c>
      <c r="I347" t="s">
        <v>1136</v>
      </c>
      <c r="J347" s="30">
        <v>1713580080</v>
      </c>
    </row>
    <row r="348" spans="1:10" ht="12.75" customHeight="1" x14ac:dyDescent="0.2">
      <c r="A348" s="32" t="s">
        <v>1170</v>
      </c>
      <c r="B348" s="32" t="s">
        <v>1171</v>
      </c>
      <c r="C348" s="32" t="s">
        <v>1145</v>
      </c>
      <c r="D348" s="32" t="s">
        <v>219</v>
      </c>
      <c r="E348" s="32" t="s">
        <v>260</v>
      </c>
      <c r="F348" s="32" t="s">
        <v>1172</v>
      </c>
      <c r="G348" s="33">
        <v>817</v>
      </c>
      <c r="H348" s="34">
        <v>42058</v>
      </c>
      <c r="I348" t="s">
        <v>1136</v>
      </c>
      <c r="J348" s="30">
        <v>1713580080</v>
      </c>
    </row>
    <row r="349" spans="1:10" ht="12.75" customHeight="1" x14ac:dyDescent="0.2">
      <c r="A349" s="32" t="s">
        <v>1173</v>
      </c>
      <c r="B349" s="32" t="s">
        <v>1174</v>
      </c>
      <c r="C349" s="32" t="s">
        <v>1175</v>
      </c>
      <c r="D349" s="32" t="s">
        <v>219</v>
      </c>
      <c r="E349" s="32" t="s">
        <v>260</v>
      </c>
      <c r="F349" s="32" t="s">
        <v>1135</v>
      </c>
      <c r="G349" s="33">
        <v>817</v>
      </c>
      <c r="H349" s="34">
        <v>43132</v>
      </c>
      <c r="I349" t="s">
        <v>1136</v>
      </c>
      <c r="J349" s="30">
        <v>1713580080</v>
      </c>
    </row>
    <row r="350" spans="1:10" ht="12.75" customHeight="1" x14ac:dyDescent="0.2">
      <c r="A350" s="32" t="s">
        <v>1176</v>
      </c>
      <c r="B350" s="32" t="s">
        <v>1177</v>
      </c>
      <c r="C350" s="32" t="s">
        <v>1178</v>
      </c>
      <c r="D350" s="32" t="s">
        <v>219</v>
      </c>
      <c r="E350" s="32" t="s">
        <v>264</v>
      </c>
      <c r="F350" s="32" t="s">
        <v>265</v>
      </c>
      <c r="G350" s="33">
        <v>733</v>
      </c>
      <c r="H350" s="34">
        <v>42917</v>
      </c>
      <c r="I350" t="s">
        <v>1136</v>
      </c>
      <c r="J350" s="30">
        <v>1713580080</v>
      </c>
    </row>
    <row r="351" spans="1:10" ht="12.75" customHeight="1" x14ac:dyDescent="0.2">
      <c r="A351" s="32" t="s">
        <v>1179</v>
      </c>
      <c r="B351" s="32" t="s">
        <v>1180</v>
      </c>
      <c r="C351" s="32" t="s">
        <v>1145</v>
      </c>
      <c r="D351" s="32" t="s">
        <v>219</v>
      </c>
      <c r="E351" s="32" t="s">
        <v>260</v>
      </c>
      <c r="F351" s="32" t="s">
        <v>1181</v>
      </c>
      <c r="G351" s="33">
        <v>817</v>
      </c>
      <c r="H351" s="34">
        <v>43221</v>
      </c>
      <c r="I351" t="s">
        <v>1136</v>
      </c>
      <c r="J351" s="30">
        <v>1713580080</v>
      </c>
    </row>
    <row r="352" spans="1:10" ht="12.75" customHeight="1" x14ac:dyDescent="0.2">
      <c r="A352" s="32" t="s">
        <v>1182</v>
      </c>
      <c r="B352" s="32" t="s">
        <v>1183</v>
      </c>
      <c r="C352" s="32" t="s">
        <v>1184</v>
      </c>
      <c r="D352" s="32" t="s">
        <v>219</v>
      </c>
      <c r="E352" s="32" t="s">
        <v>264</v>
      </c>
      <c r="F352" s="32" t="s">
        <v>265</v>
      </c>
      <c r="G352" s="33">
        <v>733</v>
      </c>
      <c r="H352" s="34">
        <v>42037</v>
      </c>
      <c r="I352" t="s">
        <v>1136</v>
      </c>
      <c r="J352" s="30">
        <v>1713580080</v>
      </c>
    </row>
    <row r="353" spans="1:10" ht="12.75" customHeight="1" x14ac:dyDescent="0.2">
      <c r="A353" s="32" t="s">
        <v>1185</v>
      </c>
      <c r="B353" s="32" t="s">
        <v>1186</v>
      </c>
      <c r="C353" s="32" t="s">
        <v>1187</v>
      </c>
      <c r="D353" s="32" t="s">
        <v>219</v>
      </c>
      <c r="E353" s="32" t="s">
        <v>260</v>
      </c>
      <c r="F353" s="32" t="s">
        <v>1135</v>
      </c>
      <c r="G353" s="33">
        <v>817</v>
      </c>
      <c r="H353" s="34">
        <v>42917</v>
      </c>
      <c r="I353" t="s">
        <v>1136</v>
      </c>
      <c r="J353" s="30">
        <v>1713580080</v>
      </c>
    </row>
    <row r="354" spans="1:10" ht="12.75" customHeight="1" x14ac:dyDescent="0.2">
      <c r="A354" s="32" t="s">
        <v>1188</v>
      </c>
      <c r="B354" s="32" t="s">
        <v>1189</v>
      </c>
      <c r="C354" s="32" t="s">
        <v>1190</v>
      </c>
      <c r="D354" s="32" t="s">
        <v>219</v>
      </c>
      <c r="E354" s="32" t="s">
        <v>264</v>
      </c>
      <c r="F354" s="32" t="s">
        <v>265</v>
      </c>
      <c r="G354" s="33">
        <v>733</v>
      </c>
      <c r="H354" s="34">
        <v>43101</v>
      </c>
      <c r="I354" t="s">
        <v>1136</v>
      </c>
      <c r="J354" s="30">
        <v>1713580080</v>
      </c>
    </row>
    <row r="355" spans="1:10" ht="12.75" customHeight="1" x14ac:dyDescent="0.2">
      <c r="A355" s="32" t="s">
        <v>1191</v>
      </c>
      <c r="B355" s="32" t="s">
        <v>1192</v>
      </c>
      <c r="C355" s="32" t="s">
        <v>1184</v>
      </c>
      <c r="D355" s="32" t="s">
        <v>219</v>
      </c>
      <c r="E355" s="32" t="s">
        <v>260</v>
      </c>
      <c r="F355" s="32" t="s">
        <v>1135</v>
      </c>
      <c r="G355" s="33">
        <v>817</v>
      </c>
      <c r="H355" s="34">
        <v>43191</v>
      </c>
      <c r="I355" t="s">
        <v>1136</v>
      </c>
      <c r="J355" s="30">
        <v>1713580080</v>
      </c>
    </row>
    <row r="356" spans="1:10" ht="12.75" customHeight="1" x14ac:dyDescent="0.2">
      <c r="A356" s="32" t="s">
        <v>1193</v>
      </c>
      <c r="B356" s="32" t="s">
        <v>1194</v>
      </c>
      <c r="C356" s="32" t="s">
        <v>1195</v>
      </c>
      <c r="D356" s="32" t="s">
        <v>219</v>
      </c>
      <c r="E356" s="32" t="s">
        <v>260</v>
      </c>
      <c r="F356" s="32" t="s">
        <v>1196</v>
      </c>
      <c r="G356" s="33">
        <v>817</v>
      </c>
      <c r="H356" s="34">
        <v>43191</v>
      </c>
      <c r="I356" t="s">
        <v>1136</v>
      </c>
      <c r="J356" s="30">
        <v>1713580080</v>
      </c>
    </row>
    <row r="357" spans="1:10" ht="12.75" customHeight="1" x14ac:dyDescent="0.2">
      <c r="A357" s="32" t="s">
        <v>1197</v>
      </c>
      <c r="B357" s="32" t="s">
        <v>1198</v>
      </c>
      <c r="C357" s="32" t="s">
        <v>1145</v>
      </c>
      <c r="D357" s="32" t="s">
        <v>219</v>
      </c>
      <c r="E357" s="32" t="s">
        <v>264</v>
      </c>
      <c r="F357" s="32" t="s">
        <v>1154</v>
      </c>
      <c r="G357" s="33">
        <v>733</v>
      </c>
      <c r="H357" s="34">
        <v>43191</v>
      </c>
      <c r="I357" t="s">
        <v>1136</v>
      </c>
      <c r="J357" s="30">
        <v>1713580080</v>
      </c>
    </row>
    <row r="358" spans="1:10" ht="12.75" customHeight="1" x14ac:dyDescent="0.2">
      <c r="A358" s="32" t="s">
        <v>1199</v>
      </c>
      <c r="B358" s="32" t="s">
        <v>1200</v>
      </c>
      <c r="C358" s="32" t="s">
        <v>1145</v>
      </c>
      <c r="D358" s="32" t="s">
        <v>226</v>
      </c>
      <c r="E358" s="32" t="s">
        <v>544</v>
      </c>
      <c r="F358" s="32" t="s">
        <v>544</v>
      </c>
      <c r="G358" s="33">
        <v>2859</v>
      </c>
      <c r="H358" s="34">
        <v>31079</v>
      </c>
      <c r="I358" t="s">
        <v>1136</v>
      </c>
      <c r="J358" s="30">
        <v>1713580080</v>
      </c>
    </row>
    <row r="359" spans="1:10" ht="12.75" customHeight="1" x14ac:dyDescent="0.2">
      <c r="A359" s="32" t="s">
        <v>1201</v>
      </c>
      <c r="B359" s="32" t="s">
        <v>1202</v>
      </c>
      <c r="C359" s="32" t="s">
        <v>1145</v>
      </c>
      <c r="D359" s="32" t="s">
        <v>226</v>
      </c>
      <c r="E359" s="32" t="s">
        <v>233</v>
      </c>
      <c r="F359" s="32" t="s">
        <v>1169</v>
      </c>
      <c r="G359" s="33">
        <v>1760</v>
      </c>
      <c r="H359" s="34">
        <v>42009</v>
      </c>
      <c r="I359" t="s">
        <v>1136</v>
      </c>
      <c r="J359" s="30">
        <v>1713580080</v>
      </c>
    </row>
    <row r="360" spans="1:10" ht="12.75" customHeight="1" x14ac:dyDescent="0.2">
      <c r="A360" s="32" t="s">
        <v>1203</v>
      </c>
      <c r="B360" s="32" t="s">
        <v>1204</v>
      </c>
      <c r="C360" s="32" t="s">
        <v>1205</v>
      </c>
      <c r="D360" s="32" t="s">
        <v>219</v>
      </c>
      <c r="E360" s="32" t="s">
        <v>260</v>
      </c>
      <c r="F360" s="32" t="s">
        <v>1135</v>
      </c>
      <c r="G360" s="33">
        <v>817</v>
      </c>
      <c r="H360" s="34">
        <v>42917</v>
      </c>
      <c r="I360" t="s">
        <v>1136</v>
      </c>
      <c r="J360" s="30">
        <v>1713580080</v>
      </c>
    </row>
    <row r="361" spans="1:10" ht="12.75" customHeight="1" x14ac:dyDescent="0.2">
      <c r="A361" s="32" t="s">
        <v>1206</v>
      </c>
      <c r="B361" s="32" t="s">
        <v>1207</v>
      </c>
      <c r="C361" s="32" t="s">
        <v>1145</v>
      </c>
      <c r="D361" s="32" t="s">
        <v>219</v>
      </c>
      <c r="E361" s="32" t="s">
        <v>260</v>
      </c>
      <c r="F361" s="32" t="s">
        <v>1172</v>
      </c>
      <c r="G361" s="33">
        <v>817</v>
      </c>
      <c r="H361" s="34">
        <v>43191</v>
      </c>
      <c r="I361" t="s">
        <v>1136</v>
      </c>
      <c r="J361" s="30">
        <v>1713580080</v>
      </c>
    </row>
    <row r="362" spans="1:10" ht="12.75" customHeight="1" x14ac:dyDescent="0.2">
      <c r="A362" s="32" t="s">
        <v>1208</v>
      </c>
      <c r="B362" s="32" t="s">
        <v>1209</v>
      </c>
      <c r="C362" s="32" t="s">
        <v>1145</v>
      </c>
      <c r="D362" s="32" t="s">
        <v>219</v>
      </c>
      <c r="E362" s="32" t="s">
        <v>220</v>
      </c>
      <c r="F362" s="32" t="s">
        <v>1210</v>
      </c>
      <c r="G362" s="33">
        <v>2034</v>
      </c>
      <c r="H362" s="34">
        <v>42887</v>
      </c>
      <c r="I362" t="s">
        <v>1136</v>
      </c>
      <c r="J362" s="30">
        <v>1713580080</v>
      </c>
    </row>
    <row r="363" spans="1:10" ht="12.75" customHeight="1" x14ac:dyDescent="0.2">
      <c r="A363" s="32" t="s">
        <v>1211</v>
      </c>
      <c r="B363" s="32" t="s">
        <v>1212</v>
      </c>
      <c r="C363" s="32" t="s">
        <v>1213</v>
      </c>
      <c r="D363" s="32" t="s">
        <v>219</v>
      </c>
      <c r="E363" s="32" t="s">
        <v>260</v>
      </c>
      <c r="F363" s="32" t="s">
        <v>1214</v>
      </c>
      <c r="G363" s="33">
        <v>817</v>
      </c>
      <c r="H363" s="34">
        <v>42917</v>
      </c>
      <c r="I363" t="s">
        <v>1136</v>
      </c>
      <c r="J363" s="30">
        <v>1713580080</v>
      </c>
    </row>
    <row r="364" spans="1:10" ht="12.75" customHeight="1" x14ac:dyDescent="0.2">
      <c r="A364" s="32" t="s">
        <v>1215</v>
      </c>
      <c r="B364" s="32" t="s">
        <v>1216</v>
      </c>
      <c r="C364" s="32" t="s">
        <v>1217</v>
      </c>
      <c r="D364" s="32" t="s">
        <v>219</v>
      </c>
      <c r="E364" s="32" t="s">
        <v>264</v>
      </c>
      <c r="F364" s="32" t="s">
        <v>265</v>
      </c>
      <c r="G364" s="33">
        <v>733</v>
      </c>
      <c r="H364" s="34">
        <v>43252</v>
      </c>
      <c r="I364" t="s">
        <v>1136</v>
      </c>
      <c r="J364" s="30">
        <v>1713580080</v>
      </c>
    </row>
    <row r="365" spans="1:10" ht="12.75" customHeight="1" x14ac:dyDescent="0.2">
      <c r="A365" s="32" t="s">
        <v>1218</v>
      </c>
      <c r="B365" s="32" t="s">
        <v>1219</v>
      </c>
      <c r="C365" s="32" t="s">
        <v>1145</v>
      </c>
      <c r="D365" s="32" t="s">
        <v>219</v>
      </c>
      <c r="E365" s="32" t="s">
        <v>260</v>
      </c>
      <c r="F365" s="32" t="s">
        <v>1181</v>
      </c>
      <c r="G365" s="33">
        <v>817</v>
      </c>
      <c r="H365" s="34">
        <v>43221</v>
      </c>
      <c r="I365" t="s">
        <v>1136</v>
      </c>
      <c r="J365" s="30">
        <v>1713580080</v>
      </c>
    </row>
    <row r="366" spans="1:10" ht="12.75" customHeight="1" x14ac:dyDescent="0.2">
      <c r="A366" s="32" t="s">
        <v>1220</v>
      </c>
      <c r="B366" s="32" t="s">
        <v>1221</v>
      </c>
      <c r="C366" s="32" t="s">
        <v>1145</v>
      </c>
      <c r="D366" s="32" t="s">
        <v>588</v>
      </c>
      <c r="E366" s="32" t="s">
        <v>336</v>
      </c>
      <c r="F366" s="32" t="s">
        <v>1222</v>
      </c>
      <c r="G366" s="33">
        <v>2308</v>
      </c>
      <c r="H366" s="34">
        <v>42926</v>
      </c>
      <c r="I366" t="s">
        <v>1136</v>
      </c>
      <c r="J366" s="30">
        <v>1713580080</v>
      </c>
    </row>
    <row r="367" spans="1:10" ht="12.75" customHeight="1" x14ac:dyDescent="0.2">
      <c r="A367" s="32" t="s">
        <v>1223</v>
      </c>
      <c r="B367" s="32" t="s">
        <v>1224</v>
      </c>
      <c r="C367" s="32" t="s">
        <v>1225</v>
      </c>
      <c r="D367" s="32" t="s">
        <v>219</v>
      </c>
      <c r="E367" s="32" t="s">
        <v>220</v>
      </c>
      <c r="F367" s="32" t="s">
        <v>1226</v>
      </c>
      <c r="G367" s="33">
        <v>2034</v>
      </c>
      <c r="H367" s="34">
        <v>42522</v>
      </c>
      <c r="I367" t="s">
        <v>1227</v>
      </c>
      <c r="J367" s="30" t="s">
        <v>1228</v>
      </c>
    </row>
    <row r="368" spans="1:10" ht="12.75" customHeight="1" x14ac:dyDescent="0.2">
      <c r="A368" s="32" t="s">
        <v>1229</v>
      </c>
      <c r="B368" s="32" t="s">
        <v>1230</v>
      </c>
      <c r="C368" s="32" t="s">
        <v>1231</v>
      </c>
      <c r="D368" s="32" t="s">
        <v>226</v>
      </c>
      <c r="E368" s="32" t="s">
        <v>369</v>
      </c>
      <c r="F368" s="32" t="s">
        <v>369</v>
      </c>
      <c r="G368" s="33">
        <v>1844.01</v>
      </c>
      <c r="H368" s="34">
        <v>33239</v>
      </c>
      <c r="I368" t="s">
        <v>1227</v>
      </c>
      <c r="J368" s="30" t="s">
        <v>1228</v>
      </c>
    </row>
    <row r="369" spans="1:10" ht="12.75" customHeight="1" x14ac:dyDescent="0.2">
      <c r="A369" s="32" t="s">
        <v>1232</v>
      </c>
      <c r="B369" s="32" t="s">
        <v>1233</v>
      </c>
      <c r="C369" s="32" t="s">
        <v>1234</v>
      </c>
      <c r="D369" s="32" t="s">
        <v>226</v>
      </c>
      <c r="E369" s="32" t="s">
        <v>220</v>
      </c>
      <c r="F369" s="32" t="s">
        <v>1235</v>
      </c>
      <c r="G369" s="33">
        <v>2034</v>
      </c>
      <c r="H369" s="34">
        <v>43009</v>
      </c>
      <c r="I369" t="s">
        <v>1227</v>
      </c>
      <c r="J369" s="30" t="s">
        <v>1228</v>
      </c>
    </row>
    <row r="370" spans="1:10" ht="12.75" customHeight="1" x14ac:dyDescent="0.2">
      <c r="A370" s="32" t="s">
        <v>1236</v>
      </c>
      <c r="B370" s="32" t="s">
        <v>1237</v>
      </c>
      <c r="C370" s="32" t="s">
        <v>1234</v>
      </c>
      <c r="D370" s="32" t="s">
        <v>226</v>
      </c>
      <c r="E370" s="32" t="s">
        <v>724</v>
      </c>
      <c r="F370" s="32" t="s">
        <v>724</v>
      </c>
      <c r="G370" s="33">
        <v>3010.87</v>
      </c>
      <c r="H370" s="34">
        <v>31847</v>
      </c>
      <c r="I370" t="s">
        <v>1227</v>
      </c>
      <c r="J370" s="30" t="s">
        <v>1228</v>
      </c>
    </row>
    <row r="371" spans="1:10" ht="12.75" customHeight="1" x14ac:dyDescent="0.2">
      <c r="A371" s="32" t="s">
        <v>1238</v>
      </c>
      <c r="B371" s="32" t="s">
        <v>1239</v>
      </c>
      <c r="C371" s="32" t="s">
        <v>1225</v>
      </c>
      <c r="D371" s="32" t="s">
        <v>219</v>
      </c>
      <c r="E371" s="32" t="s">
        <v>336</v>
      </c>
      <c r="F371" s="32" t="s">
        <v>1240</v>
      </c>
      <c r="G371" s="33">
        <v>2308</v>
      </c>
      <c r="H371" s="34">
        <v>41641</v>
      </c>
      <c r="I371" t="s">
        <v>1227</v>
      </c>
      <c r="J371" s="30" t="s">
        <v>1228</v>
      </c>
    </row>
    <row r="372" spans="1:10" ht="12.75" customHeight="1" x14ac:dyDescent="0.2">
      <c r="A372" s="32" t="s">
        <v>1241</v>
      </c>
      <c r="B372" s="32" t="s">
        <v>1242</v>
      </c>
      <c r="C372" s="32" t="s">
        <v>1243</v>
      </c>
      <c r="D372" s="32" t="s">
        <v>226</v>
      </c>
      <c r="E372" s="32" t="s">
        <v>285</v>
      </c>
      <c r="F372" s="32" t="s">
        <v>285</v>
      </c>
      <c r="G372" s="33">
        <v>2019.49</v>
      </c>
      <c r="H372" s="34">
        <v>29983</v>
      </c>
      <c r="I372" t="s">
        <v>1227</v>
      </c>
      <c r="J372" s="30" t="s">
        <v>1228</v>
      </c>
    </row>
    <row r="373" spans="1:10" ht="12.75" customHeight="1" x14ac:dyDescent="0.2">
      <c r="A373" s="32" t="s">
        <v>1244</v>
      </c>
      <c r="B373" s="32" t="s">
        <v>1245</v>
      </c>
      <c r="C373" s="32" t="s">
        <v>1234</v>
      </c>
      <c r="D373" s="32" t="s">
        <v>219</v>
      </c>
      <c r="E373" s="32" t="s">
        <v>264</v>
      </c>
      <c r="F373" s="32" t="s">
        <v>265</v>
      </c>
      <c r="G373" s="33">
        <v>733</v>
      </c>
      <c r="H373" s="34">
        <v>42917</v>
      </c>
      <c r="I373" t="s">
        <v>1227</v>
      </c>
      <c r="J373" s="30" t="s">
        <v>1228</v>
      </c>
    </row>
    <row r="374" spans="1:10" ht="12.75" customHeight="1" x14ac:dyDescent="0.2">
      <c r="A374" s="32" t="s">
        <v>1246</v>
      </c>
      <c r="B374" s="32" t="s">
        <v>1247</v>
      </c>
      <c r="C374" s="32" t="s">
        <v>1248</v>
      </c>
      <c r="D374" s="32" t="s">
        <v>226</v>
      </c>
      <c r="E374" s="32" t="s">
        <v>326</v>
      </c>
      <c r="F374" s="32" t="s">
        <v>326</v>
      </c>
      <c r="G374" s="33">
        <v>1796.51</v>
      </c>
      <c r="H374" s="34">
        <v>33095</v>
      </c>
      <c r="I374" t="s">
        <v>1227</v>
      </c>
      <c r="J374" s="30" t="s">
        <v>1228</v>
      </c>
    </row>
    <row r="375" spans="1:10" ht="12.75" customHeight="1" x14ac:dyDescent="0.2">
      <c r="A375" s="32" t="s">
        <v>1249</v>
      </c>
      <c r="B375" s="32" t="s">
        <v>1250</v>
      </c>
      <c r="C375" s="32" t="s">
        <v>1234</v>
      </c>
      <c r="D375" s="32" t="s">
        <v>226</v>
      </c>
      <c r="E375" s="32" t="s">
        <v>1251</v>
      </c>
      <c r="F375" s="32" t="s">
        <v>1251</v>
      </c>
      <c r="G375" s="33">
        <v>1872.53</v>
      </c>
      <c r="H375" s="34">
        <v>33337</v>
      </c>
      <c r="I375" t="s">
        <v>1227</v>
      </c>
      <c r="J375" s="30" t="s">
        <v>1228</v>
      </c>
    </row>
    <row r="376" spans="1:10" ht="12.75" customHeight="1" x14ac:dyDescent="0.2">
      <c r="A376" s="32" t="s">
        <v>1252</v>
      </c>
      <c r="B376" s="32" t="s">
        <v>1253</v>
      </c>
      <c r="C376" s="32" t="s">
        <v>1225</v>
      </c>
      <c r="D376" s="32" t="s">
        <v>219</v>
      </c>
      <c r="E376" s="32" t="s">
        <v>264</v>
      </c>
      <c r="F376" s="32" t="s">
        <v>265</v>
      </c>
      <c r="G376" s="33">
        <v>733</v>
      </c>
      <c r="H376" s="34">
        <v>42979</v>
      </c>
      <c r="I376" t="s">
        <v>1227</v>
      </c>
      <c r="J376" s="30" t="s">
        <v>1228</v>
      </c>
    </row>
    <row r="377" spans="1:10" ht="12.75" customHeight="1" x14ac:dyDescent="0.2">
      <c r="A377" s="32" t="s">
        <v>1254</v>
      </c>
      <c r="B377" s="32" t="s">
        <v>1255</v>
      </c>
      <c r="C377" s="32" t="s">
        <v>1243</v>
      </c>
      <c r="D377" s="32" t="s">
        <v>226</v>
      </c>
      <c r="E377" s="32" t="s">
        <v>479</v>
      </c>
      <c r="F377" s="32" t="s">
        <v>479</v>
      </c>
      <c r="G377" s="33">
        <v>2981.7</v>
      </c>
      <c r="H377" s="34">
        <v>32604</v>
      </c>
      <c r="I377" t="s">
        <v>1227</v>
      </c>
      <c r="J377" s="30" t="s">
        <v>1228</v>
      </c>
    </row>
    <row r="378" spans="1:10" ht="12.75" customHeight="1" x14ac:dyDescent="0.2">
      <c r="A378" s="32" t="s">
        <v>1256</v>
      </c>
      <c r="B378" s="32" t="s">
        <v>1257</v>
      </c>
      <c r="C378" s="32" t="s">
        <v>1234</v>
      </c>
      <c r="D378" s="32" t="s">
        <v>219</v>
      </c>
      <c r="E378" s="32" t="s">
        <v>260</v>
      </c>
      <c r="F378" s="32" t="s">
        <v>1258</v>
      </c>
      <c r="G378" s="33">
        <v>817</v>
      </c>
      <c r="H378" s="34">
        <v>42917</v>
      </c>
      <c r="I378" t="s">
        <v>1227</v>
      </c>
      <c r="J378" s="30" t="s">
        <v>1228</v>
      </c>
    </row>
    <row r="379" spans="1:10" ht="12.75" customHeight="1" x14ac:dyDescent="0.2">
      <c r="A379" s="32" t="s">
        <v>1259</v>
      </c>
      <c r="B379" s="32" t="s">
        <v>1260</v>
      </c>
      <c r="C379" s="32" t="s">
        <v>1261</v>
      </c>
      <c r="D379" s="32" t="s">
        <v>219</v>
      </c>
      <c r="E379" s="32" t="s">
        <v>264</v>
      </c>
      <c r="F379" s="32" t="s">
        <v>265</v>
      </c>
      <c r="G379" s="33">
        <v>733</v>
      </c>
      <c r="H379" s="34">
        <v>42767</v>
      </c>
      <c r="I379" t="s">
        <v>1227</v>
      </c>
      <c r="J379" s="30" t="s">
        <v>1228</v>
      </c>
    </row>
    <row r="380" spans="1:10" ht="12.75" customHeight="1" x14ac:dyDescent="0.2">
      <c r="A380" s="32" t="s">
        <v>1262</v>
      </c>
      <c r="B380" s="32" t="s">
        <v>1263</v>
      </c>
      <c r="C380" s="32" t="s">
        <v>1261</v>
      </c>
      <c r="D380" s="32" t="s">
        <v>226</v>
      </c>
      <c r="E380" s="32" t="s">
        <v>1112</v>
      </c>
      <c r="F380" s="32" t="s">
        <v>1112</v>
      </c>
      <c r="G380" s="33">
        <v>1934.07</v>
      </c>
      <c r="H380" s="34">
        <v>33345</v>
      </c>
      <c r="I380" t="s">
        <v>1227</v>
      </c>
      <c r="J380" s="30" t="s">
        <v>1228</v>
      </c>
    </row>
    <row r="381" spans="1:10" ht="12.75" customHeight="1" x14ac:dyDescent="0.2">
      <c r="A381" s="32" t="s">
        <v>1264</v>
      </c>
      <c r="B381" s="32" t="s">
        <v>1265</v>
      </c>
      <c r="C381" s="32" t="s">
        <v>1261</v>
      </c>
      <c r="D381" s="32" t="s">
        <v>219</v>
      </c>
      <c r="E381" s="32" t="s">
        <v>233</v>
      </c>
      <c r="F381" s="32" t="s">
        <v>1266</v>
      </c>
      <c r="G381" s="33">
        <v>1760</v>
      </c>
      <c r="H381" s="34">
        <v>42979</v>
      </c>
      <c r="I381" t="s">
        <v>1227</v>
      </c>
      <c r="J381" s="30" t="s">
        <v>1228</v>
      </c>
    </row>
    <row r="382" spans="1:10" ht="12.75" customHeight="1" x14ac:dyDescent="0.2">
      <c r="A382" s="32" t="s">
        <v>1267</v>
      </c>
      <c r="B382" s="32" t="s">
        <v>1268</v>
      </c>
      <c r="C382" s="32" t="s">
        <v>1243</v>
      </c>
      <c r="D382" s="32" t="s">
        <v>219</v>
      </c>
      <c r="E382" s="32" t="s">
        <v>264</v>
      </c>
      <c r="F382" s="32" t="s">
        <v>265</v>
      </c>
      <c r="G382" s="33">
        <v>733</v>
      </c>
      <c r="H382" s="34">
        <v>43221</v>
      </c>
      <c r="I382" t="s">
        <v>1227</v>
      </c>
      <c r="J382" s="30" t="s">
        <v>1228</v>
      </c>
    </row>
    <row r="383" spans="1:10" ht="12.75" customHeight="1" x14ac:dyDescent="0.2">
      <c r="A383" s="32" t="s">
        <v>1269</v>
      </c>
      <c r="B383" s="32" t="s">
        <v>1270</v>
      </c>
      <c r="C383" s="32" t="s">
        <v>1231</v>
      </c>
      <c r="D383" s="32" t="s">
        <v>226</v>
      </c>
      <c r="E383" s="32" t="s">
        <v>1271</v>
      </c>
      <c r="F383" s="32" t="s">
        <v>1271</v>
      </c>
      <c r="G383" s="33">
        <v>3094.12</v>
      </c>
      <c r="H383" s="34">
        <v>31336</v>
      </c>
      <c r="I383" t="s">
        <v>1227</v>
      </c>
      <c r="J383" s="30" t="s">
        <v>1228</v>
      </c>
    </row>
    <row r="384" spans="1:10" ht="12.75" customHeight="1" x14ac:dyDescent="0.2">
      <c r="A384" s="32" t="s">
        <v>1272</v>
      </c>
      <c r="B384" s="32" t="s">
        <v>1273</v>
      </c>
      <c r="C384" s="32" t="s">
        <v>1261</v>
      </c>
      <c r="D384" s="32" t="s">
        <v>219</v>
      </c>
      <c r="E384" s="32" t="s">
        <v>264</v>
      </c>
      <c r="F384" s="32" t="s">
        <v>265</v>
      </c>
      <c r="G384" s="33">
        <v>733</v>
      </c>
      <c r="H384" s="34">
        <v>43101</v>
      </c>
      <c r="I384" t="s">
        <v>1227</v>
      </c>
      <c r="J384" s="30" t="s">
        <v>1228</v>
      </c>
    </row>
    <row r="385" spans="1:10" ht="12.75" customHeight="1" x14ac:dyDescent="0.2">
      <c r="A385" s="32" t="s">
        <v>1274</v>
      </c>
      <c r="B385" s="32" t="s">
        <v>1275</v>
      </c>
      <c r="C385" s="32" t="s">
        <v>1243</v>
      </c>
      <c r="D385" s="32" t="s">
        <v>226</v>
      </c>
      <c r="E385" s="32" t="s">
        <v>244</v>
      </c>
      <c r="F385" s="32" t="s">
        <v>244</v>
      </c>
      <c r="G385" s="33">
        <v>2332.41</v>
      </c>
      <c r="H385" s="34">
        <v>29677</v>
      </c>
      <c r="I385" t="s">
        <v>1227</v>
      </c>
      <c r="J385" s="30" t="s">
        <v>1228</v>
      </c>
    </row>
    <row r="386" spans="1:10" ht="12.75" customHeight="1" x14ac:dyDescent="0.2">
      <c r="A386" s="32" t="s">
        <v>1276</v>
      </c>
      <c r="B386" s="32" t="s">
        <v>1277</v>
      </c>
      <c r="C386" s="32" t="s">
        <v>1261</v>
      </c>
      <c r="D386" s="32" t="s">
        <v>226</v>
      </c>
      <c r="E386" s="32" t="s">
        <v>220</v>
      </c>
      <c r="F386" s="32" t="s">
        <v>1278</v>
      </c>
      <c r="G386" s="33">
        <v>2034</v>
      </c>
      <c r="H386" s="34">
        <v>41176</v>
      </c>
      <c r="I386" t="s">
        <v>1227</v>
      </c>
      <c r="J386" s="30" t="s">
        <v>1228</v>
      </c>
    </row>
    <row r="387" spans="1:10" ht="12.75" customHeight="1" x14ac:dyDescent="0.2">
      <c r="A387" s="32" t="s">
        <v>1279</v>
      </c>
      <c r="B387" s="32" t="s">
        <v>1280</v>
      </c>
      <c r="C387" s="32" t="s">
        <v>1234</v>
      </c>
      <c r="D387" s="32" t="s">
        <v>219</v>
      </c>
      <c r="E387" s="32" t="s">
        <v>264</v>
      </c>
      <c r="F387" s="32" t="s">
        <v>265</v>
      </c>
      <c r="G387" s="33">
        <v>733</v>
      </c>
      <c r="H387" s="34">
        <v>42917</v>
      </c>
      <c r="I387" t="s">
        <v>1227</v>
      </c>
      <c r="J387" s="30" t="s">
        <v>1228</v>
      </c>
    </row>
    <row r="388" spans="1:10" ht="12.75" customHeight="1" x14ac:dyDescent="0.2">
      <c r="A388" s="32" t="s">
        <v>1281</v>
      </c>
      <c r="B388" s="32" t="s">
        <v>1282</v>
      </c>
      <c r="C388" s="32" t="s">
        <v>1248</v>
      </c>
      <c r="D388" s="32" t="s">
        <v>219</v>
      </c>
      <c r="E388" s="32" t="s">
        <v>233</v>
      </c>
      <c r="F388" s="32" t="s">
        <v>1283</v>
      </c>
      <c r="G388" s="33">
        <v>1760</v>
      </c>
      <c r="H388" s="34">
        <v>43282</v>
      </c>
      <c r="I388" t="s">
        <v>1227</v>
      </c>
      <c r="J388" s="30" t="s">
        <v>1228</v>
      </c>
    </row>
    <row r="389" spans="1:10" ht="12.75" customHeight="1" x14ac:dyDescent="0.2">
      <c r="A389" s="32" t="s">
        <v>1284</v>
      </c>
      <c r="B389" s="32" t="s">
        <v>1285</v>
      </c>
      <c r="C389" s="32" t="s">
        <v>1261</v>
      </c>
      <c r="D389" s="32" t="s">
        <v>219</v>
      </c>
      <c r="E389" s="32" t="s">
        <v>233</v>
      </c>
      <c r="F389" s="32" t="s">
        <v>1266</v>
      </c>
      <c r="G389" s="33">
        <v>1760</v>
      </c>
      <c r="H389" s="34">
        <v>43252</v>
      </c>
      <c r="I389" t="s">
        <v>1227</v>
      </c>
      <c r="J389" s="30" t="s">
        <v>1228</v>
      </c>
    </row>
    <row r="390" spans="1:10" ht="12.75" customHeight="1" x14ac:dyDescent="0.2">
      <c r="A390" s="32" t="s">
        <v>1286</v>
      </c>
      <c r="B390" s="32" t="s">
        <v>1287</v>
      </c>
      <c r="C390" s="32" t="s">
        <v>1261</v>
      </c>
      <c r="D390" s="32" t="s">
        <v>226</v>
      </c>
      <c r="E390" s="32" t="s">
        <v>1288</v>
      </c>
      <c r="F390" s="32" t="s">
        <v>1288</v>
      </c>
      <c r="G390" s="33">
        <v>3681</v>
      </c>
      <c r="H390" s="34">
        <v>31268</v>
      </c>
      <c r="I390" t="s">
        <v>1227</v>
      </c>
      <c r="J390" s="30" t="s">
        <v>1228</v>
      </c>
    </row>
    <row r="391" spans="1:10" ht="12.75" customHeight="1" x14ac:dyDescent="0.2">
      <c r="A391" s="32" t="s">
        <v>1289</v>
      </c>
      <c r="B391" s="32" t="s">
        <v>1290</v>
      </c>
      <c r="C391" s="32" t="s">
        <v>1248</v>
      </c>
      <c r="D391" s="32" t="s">
        <v>226</v>
      </c>
      <c r="E391" s="32" t="s">
        <v>244</v>
      </c>
      <c r="F391" s="32" t="s">
        <v>244</v>
      </c>
      <c r="G391" s="33">
        <v>2123.4899999999998</v>
      </c>
      <c r="H391" s="34">
        <v>34185</v>
      </c>
      <c r="I391" t="s">
        <v>1227</v>
      </c>
      <c r="J391" s="30" t="s">
        <v>1228</v>
      </c>
    </row>
    <row r="392" spans="1:10" ht="12.75" customHeight="1" x14ac:dyDescent="0.2">
      <c r="A392" s="32" t="s">
        <v>1291</v>
      </c>
      <c r="B392" s="32" t="s">
        <v>1292</v>
      </c>
      <c r="C392" s="32" t="s">
        <v>1231</v>
      </c>
      <c r="D392" s="32" t="s">
        <v>219</v>
      </c>
      <c r="E392" s="32" t="s">
        <v>233</v>
      </c>
      <c r="F392" s="32" t="s">
        <v>1293</v>
      </c>
      <c r="G392" s="33">
        <v>1760</v>
      </c>
      <c r="H392" s="34">
        <v>40072</v>
      </c>
      <c r="I392" t="s">
        <v>1227</v>
      </c>
      <c r="J392" s="30" t="s">
        <v>1228</v>
      </c>
    </row>
    <row r="393" spans="1:10" ht="12.75" customHeight="1" x14ac:dyDescent="0.2">
      <c r="A393" s="32" t="s">
        <v>1294</v>
      </c>
      <c r="B393" s="32" t="s">
        <v>1295</v>
      </c>
      <c r="C393" s="32" t="s">
        <v>1231</v>
      </c>
      <c r="D393" s="32" t="s">
        <v>226</v>
      </c>
      <c r="E393" s="32" t="s">
        <v>598</v>
      </c>
      <c r="F393" s="32" t="s">
        <v>598</v>
      </c>
      <c r="G393" s="33">
        <v>2381.12</v>
      </c>
      <c r="H393" s="34">
        <v>31778</v>
      </c>
      <c r="I393" t="s">
        <v>1227</v>
      </c>
      <c r="J393" s="30" t="s">
        <v>1228</v>
      </c>
    </row>
    <row r="394" spans="1:10" ht="12.75" customHeight="1" x14ac:dyDescent="0.2">
      <c r="A394" s="32" t="s">
        <v>1296</v>
      </c>
      <c r="B394" s="32" t="s">
        <v>1297</v>
      </c>
      <c r="C394" s="32" t="s">
        <v>1298</v>
      </c>
      <c r="D394" s="32" t="s">
        <v>226</v>
      </c>
      <c r="E394" s="32" t="s">
        <v>544</v>
      </c>
      <c r="F394" s="32" t="s">
        <v>544</v>
      </c>
      <c r="G394" s="33">
        <v>2859</v>
      </c>
      <c r="H394" s="34">
        <v>32566</v>
      </c>
      <c r="I394" t="s">
        <v>1299</v>
      </c>
      <c r="J394" s="30">
        <v>1708548423</v>
      </c>
    </row>
    <row r="395" spans="1:10" ht="12.75" customHeight="1" x14ac:dyDescent="0.2">
      <c r="A395" s="32" t="s">
        <v>1300</v>
      </c>
      <c r="B395" s="32" t="s">
        <v>1301</v>
      </c>
      <c r="C395" s="32" t="s">
        <v>1298</v>
      </c>
      <c r="D395" s="32" t="s">
        <v>588</v>
      </c>
      <c r="E395" s="32" t="s">
        <v>220</v>
      </c>
      <c r="F395" s="32" t="s">
        <v>1302</v>
      </c>
      <c r="G395" s="33">
        <v>2034</v>
      </c>
      <c r="H395" s="34">
        <v>42948</v>
      </c>
      <c r="I395" t="s">
        <v>1299</v>
      </c>
      <c r="J395" s="30">
        <v>1708548423</v>
      </c>
    </row>
    <row r="396" spans="1:10" ht="12.75" customHeight="1" x14ac:dyDescent="0.2">
      <c r="A396" s="32" t="s">
        <v>1303</v>
      </c>
      <c r="B396" s="32" t="s">
        <v>1304</v>
      </c>
      <c r="C396" s="32" t="s">
        <v>1305</v>
      </c>
      <c r="D396" s="32" t="s">
        <v>226</v>
      </c>
      <c r="E396" s="32" t="s">
        <v>1306</v>
      </c>
      <c r="F396" s="32" t="s">
        <v>1306</v>
      </c>
      <c r="G396" s="33">
        <v>2839.12</v>
      </c>
      <c r="H396" s="34">
        <v>29443</v>
      </c>
      <c r="I396" t="s">
        <v>1299</v>
      </c>
      <c r="J396" s="30">
        <v>1708548423</v>
      </c>
    </row>
    <row r="397" spans="1:10" ht="12.75" customHeight="1" x14ac:dyDescent="0.2">
      <c r="A397" s="32" t="s">
        <v>1307</v>
      </c>
      <c r="B397" s="32" t="s">
        <v>1308</v>
      </c>
      <c r="C397" s="32" t="s">
        <v>1309</v>
      </c>
      <c r="D397" s="32" t="s">
        <v>219</v>
      </c>
      <c r="E397" s="32" t="s">
        <v>233</v>
      </c>
      <c r="F397" s="32" t="s">
        <v>1310</v>
      </c>
      <c r="G397" s="33">
        <v>1760</v>
      </c>
      <c r="H397" s="34">
        <v>43101</v>
      </c>
      <c r="I397" t="s">
        <v>1299</v>
      </c>
      <c r="J397" s="30">
        <v>1708548423</v>
      </c>
    </row>
    <row r="398" spans="1:10" ht="12.75" customHeight="1" x14ac:dyDescent="0.2">
      <c r="A398" s="32" t="s">
        <v>1311</v>
      </c>
      <c r="B398" s="32" t="s">
        <v>1312</v>
      </c>
      <c r="C398" s="32" t="s">
        <v>1298</v>
      </c>
      <c r="D398" s="32" t="s">
        <v>226</v>
      </c>
      <c r="E398" s="32" t="s">
        <v>544</v>
      </c>
      <c r="F398" s="32" t="s">
        <v>544</v>
      </c>
      <c r="G398" s="33">
        <v>2859</v>
      </c>
      <c r="H398" s="34">
        <v>30904</v>
      </c>
      <c r="I398" t="s">
        <v>1299</v>
      </c>
      <c r="J398" s="30">
        <v>1708548423</v>
      </c>
    </row>
    <row r="399" spans="1:10" ht="12.75" customHeight="1" x14ac:dyDescent="0.2">
      <c r="A399" s="32" t="s">
        <v>1313</v>
      </c>
      <c r="B399" s="32" t="s">
        <v>1314</v>
      </c>
      <c r="C399" s="32" t="s">
        <v>1305</v>
      </c>
      <c r="D399" s="32" t="s">
        <v>219</v>
      </c>
      <c r="E399" s="32" t="s">
        <v>336</v>
      </c>
      <c r="F399" s="32" t="s">
        <v>1315</v>
      </c>
      <c r="G399" s="33">
        <v>2308</v>
      </c>
      <c r="H399" s="34">
        <v>43191</v>
      </c>
      <c r="I399" t="s">
        <v>1299</v>
      </c>
      <c r="J399" s="30">
        <v>1708548423</v>
      </c>
    </row>
    <row r="400" spans="1:10" ht="12.75" customHeight="1" x14ac:dyDescent="0.2">
      <c r="A400" s="32" t="s">
        <v>1316</v>
      </c>
      <c r="B400" s="32" t="s">
        <v>1317</v>
      </c>
      <c r="C400" s="32" t="s">
        <v>1298</v>
      </c>
      <c r="D400" s="32" t="s">
        <v>219</v>
      </c>
      <c r="E400" s="32" t="s">
        <v>233</v>
      </c>
      <c r="F400" s="32" t="s">
        <v>1318</v>
      </c>
      <c r="G400" s="33">
        <v>1760</v>
      </c>
      <c r="H400" s="34">
        <v>43221</v>
      </c>
      <c r="I400" t="s">
        <v>1299</v>
      </c>
      <c r="J400" s="30">
        <v>1708548423</v>
      </c>
    </row>
    <row r="401" spans="1:10" ht="12.75" customHeight="1" x14ac:dyDescent="0.2">
      <c r="A401" s="32" t="s">
        <v>1319</v>
      </c>
      <c r="B401" s="32" t="s">
        <v>1320</v>
      </c>
      <c r="C401" s="32" t="s">
        <v>1305</v>
      </c>
      <c r="D401" s="32" t="s">
        <v>226</v>
      </c>
      <c r="E401" s="32" t="s">
        <v>1321</v>
      </c>
      <c r="F401" s="32" t="s">
        <v>1321</v>
      </c>
      <c r="G401" s="33">
        <v>2937.76</v>
      </c>
      <c r="H401" s="34">
        <v>33162</v>
      </c>
      <c r="I401" t="s">
        <v>1299</v>
      </c>
      <c r="J401" s="30">
        <v>1708548423</v>
      </c>
    </row>
    <row r="402" spans="1:10" ht="12.75" customHeight="1" x14ac:dyDescent="0.2">
      <c r="A402" s="32" t="s">
        <v>1322</v>
      </c>
      <c r="B402" s="32" t="s">
        <v>1323</v>
      </c>
      <c r="C402" s="32" t="s">
        <v>1324</v>
      </c>
      <c r="D402" s="32" t="s">
        <v>219</v>
      </c>
      <c r="E402" s="32" t="s">
        <v>260</v>
      </c>
      <c r="F402" s="32" t="s">
        <v>1325</v>
      </c>
      <c r="G402" s="33">
        <v>817</v>
      </c>
      <c r="H402" s="34">
        <v>43132</v>
      </c>
      <c r="I402" t="s">
        <v>1326</v>
      </c>
      <c r="J402" s="30" t="s">
        <v>1327</v>
      </c>
    </row>
    <row r="403" spans="1:10" ht="12.75" customHeight="1" x14ac:dyDescent="0.2">
      <c r="A403" s="32" t="s">
        <v>1328</v>
      </c>
      <c r="B403" s="32" t="s">
        <v>1329</v>
      </c>
      <c r="C403" s="32" t="s">
        <v>1330</v>
      </c>
      <c r="D403" s="32" t="s">
        <v>219</v>
      </c>
      <c r="E403" s="32" t="s">
        <v>220</v>
      </c>
      <c r="F403" s="32" t="s">
        <v>220</v>
      </c>
      <c r="G403" s="33">
        <v>2034</v>
      </c>
      <c r="H403" s="34">
        <v>42461</v>
      </c>
      <c r="I403" t="s">
        <v>1331</v>
      </c>
      <c r="J403" s="30" t="s">
        <v>1332</v>
      </c>
    </row>
    <row r="404" spans="1:10" ht="12.75" customHeight="1" x14ac:dyDescent="0.2">
      <c r="A404" s="32" t="s">
        <v>1333</v>
      </c>
      <c r="B404" s="32" t="s">
        <v>1334</v>
      </c>
      <c r="C404" s="32" t="s">
        <v>1335</v>
      </c>
      <c r="D404" s="32" t="s">
        <v>219</v>
      </c>
      <c r="E404" s="32" t="s">
        <v>220</v>
      </c>
      <c r="F404" s="32" t="s">
        <v>220</v>
      </c>
      <c r="G404" s="33">
        <v>2034</v>
      </c>
      <c r="H404" s="34">
        <v>43040</v>
      </c>
      <c r="I404" t="s">
        <v>1336</v>
      </c>
      <c r="J404" s="30" t="s">
        <v>1337</v>
      </c>
    </row>
    <row r="405" spans="1:10" ht="12.75" customHeight="1" x14ac:dyDescent="0.2">
      <c r="A405" s="32" t="s">
        <v>1338</v>
      </c>
      <c r="B405" s="32" t="s">
        <v>1339</v>
      </c>
      <c r="C405" s="32" t="s">
        <v>1340</v>
      </c>
      <c r="D405" s="32" t="s">
        <v>219</v>
      </c>
      <c r="E405" s="32" t="s">
        <v>220</v>
      </c>
      <c r="F405" s="32" t="s">
        <v>220</v>
      </c>
      <c r="G405" s="33">
        <v>2034</v>
      </c>
      <c r="H405" s="34">
        <v>42887</v>
      </c>
      <c r="I405" t="s">
        <v>1341</v>
      </c>
      <c r="J405" s="30" t="s">
        <v>1342</v>
      </c>
    </row>
    <row r="406" spans="1:10" ht="12.75" customHeight="1" x14ac:dyDescent="0.2">
      <c r="A406" s="32" t="s">
        <v>1343</v>
      </c>
      <c r="B406" s="32" t="s">
        <v>1344</v>
      </c>
      <c r="C406" s="32" t="s">
        <v>1345</v>
      </c>
      <c r="D406" s="32" t="s">
        <v>219</v>
      </c>
      <c r="E406" s="32" t="s">
        <v>220</v>
      </c>
      <c r="F406" s="32" t="s">
        <v>220</v>
      </c>
      <c r="G406" s="33">
        <v>2034</v>
      </c>
      <c r="H406" s="34">
        <v>41410</v>
      </c>
      <c r="I406" t="s">
        <v>1346</v>
      </c>
      <c r="J406" s="30" t="s">
        <v>1347</v>
      </c>
    </row>
    <row r="407" spans="1:10" ht="12.75" customHeight="1" x14ac:dyDescent="0.2">
      <c r="A407" s="32" t="s">
        <v>1348</v>
      </c>
      <c r="B407" s="32" t="s">
        <v>1349</v>
      </c>
      <c r="C407" s="32" t="s">
        <v>1350</v>
      </c>
      <c r="D407" s="32" t="s">
        <v>226</v>
      </c>
      <c r="E407" s="32" t="s">
        <v>323</v>
      </c>
      <c r="F407" s="32" t="s">
        <v>323</v>
      </c>
      <c r="G407" s="33">
        <v>1891.74</v>
      </c>
      <c r="H407" s="34">
        <v>31929</v>
      </c>
      <c r="I407" t="s">
        <v>1351</v>
      </c>
      <c r="J407" s="30" t="s">
        <v>1352</v>
      </c>
    </row>
    <row r="408" spans="1:10" ht="12.75" customHeight="1" x14ac:dyDescent="0.2">
      <c r="A408" s="32" t="s">
        <v>1353</v>
      </c>
      <c r="B408" s="32" t="s">
        <v>1354</v>
      </c>
      <c r="C408" s="32" t="s">
        <v>1355</v>
      </c>
      <c r="D408" s="32" t="s">
        <v>219</v>
      </c>
      <c r="E408" s="32" t="s">
        <v>264</v>
      </c>
      <c r="F408" s="32" t="s">
        <v>265</v>
      </c>
      <c r="G408" s="33">
        <v>733</v>
      </c>
      <c r="H408" s="34">
        <v>43040</v>
      </c>
      <c r="I408" t="s">
        <v>1299</v>
      </c>
      <c r="J408" s="30">
        <v>1708548423</v>
      </c>
    </row>
    <row r="409" spans="1:10" ht="12.75" customHeight="1" x14ac:dyDescent="0.2">
      <c r="A409" s="32" t="s">
        <v>1356</v>
      </c>
      <c r="B409" s="32" t="s">
        <v>1357</v>
      </c>
      <c r="C409" s="32" t="s">
        <v>1355</v>
      </c>
      <c r="D409" s="32" t="s">
        <v>226</v>
      </c>
      <c r="E409" s="32" t="s">
        <v>369</v>
      </c>
      <c r="F409" s="32" t="s">
        <v>369</v>
      </c>
      <c r="G409" s="33">
        <v>2050.81</v>
      </c>
      <c r="H409" s="34">
        <v>32744</v>
      </c>
      <c r="I409" t="s">
        <v>1299</v>
      </c>
      <c r="J409" s="30">
        <v>1708548423</v>
      </c>
    </row>
    <row r="410" spans="1:10" ht="12.75" customHeight="1" x14ac:dyDescent="0.2">
      <c r="A410" s="32" t="s">
        <v>1358</v>
      </c>
      <c r="B410" s="32" t="s">
        <v>1359</v>
      </c>
      <c r="C410" s="32" t="s">
        <v>1360</v>
      </c>
      <c r="D410" s="32" t="s">
        <v>226</v>
      </c>
      <c r="E410" s="32" t="s">
        <v>254</v>
      </c>
      <c r="F410" s="32" t="s">
        <v>254</v>
      </c>
      <c r="G410" s="33">
        <v>2032.99</v>
      </c>
      <c r="H410" s="34">
        <v>30938</v>
      </c>
      <c r="I410" t="s">
        <v>1014</v>
      </c>
      <c r="J410" s="30" t="s">
        <v>1015</v>
      </c>
    </row>
    <row r="411" spans="1:10" ht="12.75" customHeight="1" x14ac:dyDescent="0.2">
      <c r="A411" s="32" t="s">
        <v>1361</v>
      </c>
      <c r="B411" s="32" t="s">
        <v>1362</v>
      </c>
      <c r="C411" s="32" t="s">
        <v>1363</v>
      </c>
      <c r="D411" s="32" t="s">
        <v>219</v>
      </c>
      <c r="E411" s="32" t="s">
        <v>260</v>
      </c>
      <c r="F411" s="32" t="s">
        <v>1364</v>
      </c>
      <c r="G411" s="33">
        <v>817</v>
      </c>
      <c r="H411" s="34">
        <v>42979</v>
      </c>
      <c r="I411" t="s">
        <v>735</v>
      </c>
      <c r="J411" s="30" t="s">
        <v>736</v>
      </c>
    </row>
    <row r="412" spans="1:10" ht="12.75" customHeight="1" x14ac:dyDescent="0.2">
      <c r="A412" s="32" t="s">
        <v>1365</v>
      </c>
      <c r="B412" s="32" t="s">
        <v>1366</v>
      </c>
      <c r="C412" s="32" t="s">
        <v>1363</v>
      </c>
      <c r="D412" s="32" t="s">
        <v>219</v>
      </c>
      <c r="E412" s="32" t="s">
        <v>260</v>
      </c>
      <c r="F412" s="32" t="s">
        <v>811</v>
      </c>
      <c r="G412" s="33">
        <v>817</v>
      </c>
      <c r="H412" s="34">
        <v>43191</v>
      </c>
      <c r="I412" t="s">
        <v>735</v>
      </c>
      <c r="J412" s="30" t="s">
        <v>736</v>
      </c>
    </row>
    <row r="413" spans="1:10" ht="12.75" customHeight="1" x14ac:dyDescent="0.2">
      <c r="A413" s="32" t="s">
        <v>1367</v>
      </c>
      <c r="B413" s="32" t="s">
        <v>1368</v>
      </c>
      <c r="C413" s="32" t="s">
        <v>1369</v>
      </c>
      <c r="D413" s="32" t="s">
        <v>219</v>
      </c>
      <c r="E413" s="32" t="s">
        <v>220</v>
      </c>
      <c r="F413" s="32" t="s">
        <v>220</v>
      </c>
      <c r="G413" s="33">
        <v>2034</v>
      </c>
      <c r="H413" s="34">
        <v>42887</v>
      </c>
      <c r="I413" t="s">
        <v>1370</v>
      </c>
      <c r="J413" s="30" t="s">
        <v>1371</v>
      </c>
    </row>
    <row r="414" spans="1:10" ht="12.75" customHeight="1" x14ac:dyDescent="0.2">
      <c r="A414" s="32" t="s">
        <v>1372</v>
      </c>
      <c r="B414" s="32" t="s">
        <v>1373</v>
      </c>
      <c r="C414" s="32" t="s">
        <v>1374</v>
      </c>
      <c r="D414" s="32" t="s">
        <v>219</v>
      </c>
      <c r="E414" s="32" t="s">
        <v>264</v>
      </c>
      <c r="F414" s="32" t="s">
        <v>265</v>
      </c>
      <c r="G414" s="33">
        <v>733</v>
      </c>
      <c r="H414" s="34">
        <v>41344</v>
      </c>
      <c r="I414" t="s">
        <v>854</v>
      </c>
      <c r="J414" s="30" t="s">
        <v>855</v>
      </c>
    </row>
    <row r="415" spans="1:10" ht="12.75" customHeight="1" x14ac:dyDescent="0.2">
      <c r="A415" s="32" t="s">
        <v>1375</v>
      </c>
      <c r="B415" s="32" t="s">
        <v>1376</v>
      </c>
      <c r="C415" s="32" t="s">
        <v>1374</v>
      </c>
      <c r="D415" s="32" t="s">
        <v>226</v>
      </c>
      <c r="E415" s="32" t="s">
        <v>866</v>
      </c>
      <c r="F415" s="32" t="s">
        <v>866</v>
      </c>
      <c r="G415" s="33">
        <v>3340</v>
      </c>
      <c r="H415" s="34">
        <v>32435</v>
      </c>
      <c r="I415" t="s">
        <v>854</v>
      </c>
      <c r="J415" s="30" t="s">
        <v>855</v>
      </c>
    </row>
    <row r="416" spans="1:10" ht="12.75" customHeight="1" x14ac:dyDescent="0.2">
      <c r="A416" s="32" t="s">
        <v>1377</v>
      </c>
      <c r="B416" s="32" t="s">
        <v>1378</v>
      </c>
      <c r="C416" s="32" t="s">
        <v>1379</v>
      </c>
      <c r="D416" s="32" t="s">
        <v>219</v>
      </c>
      <c r="E416" s="32" t="s">
        <v>220</v>
      </c>
      <c r="F416" s="32" t="s">
        <v>220</v>
      </c>
      <c r="G416" s="33">
        <v>2034</v>
      </c>
      <c r="H416" s="34">
        <v>42173</v>
      </c>
      <c r="I416" t="s">
        <v>1380</v>
      </c>
      <c r="J416" s="30" t="s">
        <v>1381</v>
      </c>
    </row>
  </sheetData>
  <sheetProtection sheet="1" objects="1" scenarios="1" selectLockedCells="1"/>
  <autoFilter ref="A1:J416" xr:uid="{00000000-0009-0000-0000-000002000000}"/>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40"/>
  <sheetViews>
    <sheetView zoomScale="89" zoomScaleNormal="89" workbookViewId="0">
      <pane xSplit="2" ySplit="1" topLeftCell="G2" activePane="bottomRight" state="frozen"/>
      <selection pane="topRight" activeCell="G1" sqref="G1"/>
      <selection pane="bottomLeft" activeCell="A165" sqref="A165"/>
      <selection pane="bottomRight" activeCell="A41" sqref="A41"/>
    </sheetView>
  </sheetViews>
  <sheetFormatPr baseColWidth="10" defaultColWidth="10.140625" defaultRowHeight="12.75" x14ac:dyDescent="0.2"/>
  <cols>
    <col min="1" max="1" width="12.140625" style="30" customWidth="1"/>
    <col min="2" max="2" width="38.85546875" customWidth="1"/>
    <col min="3" max="3" width="68.140625" customWidth="1"/>
    <col min="4" max="4" width="29.42578125" customWidth="1"/>
    <col min="5" max="5" width="24.85546875" customWidth="1"/>
    <col min="6" max="6" width="43.7109375" customWidth="1"/>
    <col min="7" max="7" width="18.7109375" customWidth="1"/>
    <col min="8" max="8" width="18" style="30" customWidth="1"/>
    <col min="9" max="9" width="18.85546875" style="30" customWidth="1"/>
    <col min="10" max="10" width="32.7109375" style="30" customWidth="1"/>
    <col min="11" max="11" width="12.85546875" style="30" customWidth="1"/>
  </cols>
  <sheetData>
    <row r="1" spans="1:11" x14ac:dyDescent="0.2">
      <c r="A1" s="30" t="s">
        <v>206</v>
      </c>
      <c r="B1" s="31" t="s">
        <v>1382</v>
      </c>
      <c r="C1" s="31" t="s">
        <v>208</v>
      </c>
      <c r="D1" s="31" t="s">
        <v>1383</v>
      </c>
      <c r="E1" s="31" t="s">
        <v>1384</v>
      </c>
      <c r="F1" s="31" t="s">
        <v>1385</v>
      </c>
      <c r="G1" s="31" t="s">
        <v>1386</v>
      </c>
      <c r="H1" t="s">
        <v>1387</v>
      </c>
      <c r="I1" s="30" t="s">
        <v>1388</v>
      </c>
      <c r="J1" t="s">
        <v>1389</v>
      </c>
      <c r="K1" s="30" t="s">
        <v>1388</v>
      </c>
    </row>
    <row r="2" spans="1:11" x14ac:dyDescent="0.2">
      <c r="A2" s="35" t="s">
        <v>496</v>
      </c>
      <c r="B2" s="36" t="s">
        <v>497</v>
      </c>
      <c r="C2" s="37" t="s">
        <v>488</v>
      </c>
      <c r="D2" s="37" t="s">
        <v>467</v>
      </c>
      <c r="E2" s="36" t="s">
        <v>295</v>
      </c>
      <c r="F2" s="36" t="s">
        <v>295</v>
      </c>
      <c r="G2" s="38">
        <v>44927</v>
      </c>
      <c r="H2" s="36" t="s">
        <v>1390</v>
      </c>
      <c r="I2" s="35" t="s">
        <v>1391</v>
      </c>
      <c r="J2" s="36" t="s">
        <v>1390</v>
      </c>
      <c r="K2" s="35" t="s">
        <v>1391</v>
      </c>
    </row>
    <row r="3" spans="1:11" x14ac:dyDescent="0.2">
      <c r="A3" s="35" t="s">
        <v>1392</v>
      </c>
      <c r="B3" s="36" t="s">
        <v>1393</v>
      </c>
      <c r="C3" s="37" t="s">
        <v>1355</v>
      </c>
      <c r="D3" s="37" t="s">
        <v>1355</v>
      </c>
      <c r="E3" s="36" t="s">
        <v>557</v>
      </c>
      <c r="F3" s="36" t="s">
        <v>1394</v>
      </c>
      <c r="G3" s="38">
        <v>44927</v>
      </c>
      <c r="H3" s="37" t="s">
        <v>1395</v>
      </c>
      <c r="I3" s="35" t="s">
        <v>1396</v>
      </c>
      <c r="J3" s="36" t="s">
        <v>1397</v>
      </c>
      <c r="K3" s="35" t="s">
        <v>1398</v>
      </c>
    </row>
    <row r="4" spans="1:11" x14ac:dyDescent="0.2">
      <c r="A4" s="35" t="s">
        <v>922</v>
      </c>
      <c r="B4" s="37" t="s">
        <v>923</v>
      </c>
      <c r="C4" s="37" t="s">
        <v>1374</v>
      </c>
      <c r="D4" s="37" t="s">
        <v>853</v>
      </c>
      <c r="E4" s="36" t="s">
        <v>613</v>
      </c>
      <c r="F4" s="36" t="s">
        <v>924</v>
      </c>
      <c r="G4" s="38">
        <v>44927</v>
      </c>
      <c r="H4" s="36" t="s">
        <v>1397</v>
      </c>
      <c r="I4" s="35" t="s">
        <v>1398</v>
      </c>
      <c r="J4" s="36" t="s">
        <v>1397</v>
      </c>
      <c r="K4" s="35" t="s">
        <v>1398</v>
      </c>
    </row>
    <row r="5" spans="1:11" x14ac:dyDescent="0.2">
      <c r="A5" s="35" t="s">
        <v>1110</v>
      </c>
      <c r="B5" s="36" t="s">
        <v>1111</v>
      </c>
      <c r="C5" s="37" t="s">
        <v>1043</v>
      </c>
      <c r="D5" s="37" t="s">
        <v>1043</v>
      </c>
      <c r="E5" s="36" t="s">
        <v>1112</v>
      </c>
      <c r="F5" s="36" t="s">
        <v>1112</v>
      </c>
      <c r="G5" s="38">
        <v>44927</v>
      </c>
      <c r="H5" s="37" t="s">
        <v>1399</v>
      </c>
      <c r="I5" s="35" t="s">
        <v>1400</v>
      </c>
      <c r="J5" s="36" t="s">
        <v>1399</v>
      </c>
      <c r="K5" s="35" t="s">
        <v>1400</v>
      </c>
    </row>
    <row r="6" spans="1:11" x14ac:dyDescent="0.2">
      <c r="A6" s="35" t="s">
        <v>1319</v>
      </c>
      <c r="B6" s="37" t="s">
        <v>1320</v>
      </c>
      <c r="C6" s="37" t="s">
        <v>1355</v>
      </c>
      <c r="D6" s="37" t="s">
        <v>1305</v>
      </c>
      <c r="E6" s="36" t="s">
        <v>1321</v>
      </c>
      <c r="F6" s="36" t="s">
        <v>1321</v>
      </c>
      <c r="G6" s="38">
        <v>44927</v>
      </c>
      <c r="H6" s="37" t="s">
        <v>1395</v>
      </c>
      <c r="I6" s="35" t="s">
        <v>1396</v>
      </c>
      <c r="J6" s="36" t="s">
        <v>1395</v>
      </c>
      <c r="K6" s="35" t="s">
        <v>1396</v>
      </c>
    </row>
    <row r="7" spans="1:11" x14ac:dyDescent="0.2">
      <c r="A7" s="35" t="s">
        <v>324</v>
      </c>
      <c r="B7" s="36" t="s">
        <v>325</v>
      </c>
      <c r="C7" s="37" t="s">
        <v>329</v>
      </c>
      <c r="D7" s="37" t="s">
        <v>247</v>
      </c>
      <c r="E7" s="36" t="s">
        <v>326</v>
      </c>
      <c r="F7" s="36" t="s">
        <v>326</v>
      </c>
      <c r="G7" s="38">
        <v>44927</v>
      </c>
      <c r="H7" s="37" t="s">
        <v>1401</v>
      </c>
      <c r="I7" s="35" t="s">
        <v>1402</v>
      </c>
      <c r="J7" s="36" t="s">
        <v>1403</v>
      </c>
      <c r="K7" s="35" t="s">
        <v>255</v>
      </c>
    </row>
    <row r="8" spans="1:11" x14ac:dyDescent="0.2">
      <c r="A8" s="35" t="s">
        <v>717</v>
      </c>
      <c r="B8" s="36" t="s">
        <v>718</v>
      </c>
      <c r="C8" s="37" t="s">
        <v>719</v>
      </c>
      <c r="D8" s="37" t="s">
        <v>719</v>
      </c>
      <c r="E8" s="36" t="s">
        <v>241</v>
      </c>
      <c r="F8" s="36" t="s">
        <v>241</v>
      </c>
      <c r="G8" s="38">
        <v>44927</v>
      </c>
      <c r="H8" s="36" t="s">
        <v>1404</v>
      </c>
      <c r="I8" s="35" t="s">
        <v>666</v>
      </c>
      <c r="J8" s="36" t="s">
        <v>1404</v>
      </c>
      <c r="K8" s="35" t="s">
        <v>666</v>
      </c>
    </row>
    <row r="9" spans="1:11" x14ac:dyDescent="0.2">
      <c r="A9" s="35" t="s">
        <v>720</v>
      </c>
      <c r="B9" s="36" t="s">
        <v>1405</v>
      </c>
      <c r="C9" s="37" t="s">
        <v>719</v>
      </c>
      <c r="D9" s="37" t="s">
        <v>652</v>
      </c>
      <c r="E9" s="36" t="s">
        <v>394</v>
      </c>
      <c r="F9" s="36" t="s">
        <v>1406</v>
      </c>
      <c r="G9" s="38">
        <v>44927</v>
      </c>
      <c r="H9" s="36" t="s">
        <v>1407</v>
      </c>
      <c r="I9" s="35" t="s">
        <v>710</v>
      </c>
      <c r="J9" s="36" t="s">
        <v>1404</v>
      </c>
      <c r="K9" s="35" t="s">
        <v>666</v>
      </c>
    </row>
    <row r="10" spans="1:11" x14ac:dyDescent="0.2">
      <c r="A10" s="35" t="s">
        <v>1391</v>
      </c>
      <c r="B10" s="37" t="s">
        <v>1390</v>
      </c>
      <c r="C10" s="37" t="s">
        <v>488</v>
      </c>
      <c r="D10" s="37" t="s">
        <v>467</v>
      </c>
      <c r="E10" s="36" t="s">
        <v>336</v>
      </c>
      <c r="F10" s="36" t="s">
        <v>468</v>
      </c>
      <c r="G10" s="38">
        <v>44927</v>
      </c>
      <c r="H10" s="36" t="s">
        <v>1390</v>
      </c>
      <c r="I10" s="35" t="s">
        <v>1391</v>
      </c>
      <c r="J10" s="36" t="s">
        <v>1390</v>
      </c>
      <c r="K10" s="35" t="s">
        <v>1391</v>
      </c>
    </row>
    <row r="11" spans="1:11" x14ac:dyDescent="0.2">
      <c r="A11" s="35" t="s">
        <v>1408</v>
      </c>
      <c r="B11" s="36" t="s">
        <v>1409</v>
      </c>
      <c r="C11" s="37" t="s">
        <v>592</v>
      </c>
      <c r="D11" s="37" t="s">
        <v>592</v>
      </c>
      <c r="E11" s="36" t="s">
        <v>279</v>
      </c>
      <c r="F11" s="36" t="s">
        <v>1394</v>
      </c>
      <c r="G11" s="38">
        <v>44927</v>
      </c>
      <c r="H11" s="36" t="s">
        <v>1410</v>
      </c>
      <c r="I11" s="35" t="s">
        <v>1411</v>
      </c>
      <c r="J11" s="36" t="s">
        <v>1410</v>
      </c>
      <c r="K11" s="35" t="s">
        <v>1411</v>
      </c>
    </row>
    <row r="12" spans="1:11" ht="51" x14ac:dyDescent="0.2">
      <c r="A12" s="35" t="s">
        <v>1412</v>
      </c>
      <c r="B12" s="36" t="s">
        <v>1413</v>
      </c>
      <c r="C12" s="37" t="s">
        <v>329</v>
      </c>
      <c r="D12" s="39" t="s">
        <v>1414</v>
      </c>
      <c r="E12" s="36" t="s">
        <v>260</v>
      </c>
      <c r="F12" s="36" t="s">
        <v>1135</v>
      </c>
      <c r="G12" s="38">
        <v>44958</v>
      </c>
      <c r="H12" s="37" t="s">
        <v>1415</v>
      </c>
      <c r="I12" s="35" t="s">
        <v>1416</v>
      </c>
      <c r="J12" s="36" t="s">
        <v>1403</v>
      </c>
      <c r="K12" s="35" t="s">
        <v>255</v>
      </c>
    </row>
    <row r="13" spans="1:11" x14ac:dyDescent="0.2">
      <c r="A13" s="35" t="s">
        <v>1417</v>
      </c>
      <c r="B13" s="36" t="s">
        <v>1418</v>
      </c>
      <c r="C13" s="37" t="s">
        <v>592</v>
      </c>
      <c r="D13" s="37" t="s">
        <v>592</v>
      </c>
      <c r="E13" s="36" t="s">
        <v>489</v>
      </c>
      <c r="F13" s="36" t="s">
        <v>1002</v>
      </c>
      <c r="G13" s="38">
        <v>44927</v>
      </c>
      <c r="H13" s="36" t="s">
        <v>1410</v>
      </c>
      <c r="I13" s="35" t="s">
        <v>1411</v>
      </c>
      <c r="J13" s="36" t="s">
        <v>1410</v>
      </c>
      <c r="K13" s="35" t="s">
        <v>1411</v>
      </c>
    </row>
    <row r="14" spans="1:11" x14ac:dyDescent="0.2">
      <c r="A14" s="35" t="s">
        <v>1419</v>
      </c>
      <c r="B14" s="36" t="s">
        <v>1420</v>
      </c>
      <c r="C14" s="37" t="s">
        <v>1374</v>
      </c>
      <c r="D14" s="37" t="s">
        <v>853</v>
      </c>
      <c r="E14" s="36" t="s">
        <v>260</v>
      </c>
      <c r="F14" s="36" t="s">
        <v>862</v>
      </c>
      <c r="G14" s="38">
        <v>44929</v>
      </c>
      <c r="H14" s="37" t="s">
        <v>923</v>
      </c>
      <c r="I14" s="35" t="s">
        <v>922</v>
      </c>
      <c r="J14" s="36" t="s">
        <v>1397</v>
      </c>
      <c r="K14" s="35" t="s">
        <v>1398</v>
      </c>
    </row>
    <row r="15" spans="1:11" x14ac:dyDescent="0.2">
      <c r="A15" s="35" t="s">
        <v>1411</v>
      </c>
      <c r="B15" s="37" t="s">
        <v>1410</v>
      </c>
      <c r="C15" s="37" t="s">
        <v>592</v>
      </c>
      <c r="D15" s="37" t="s">
        <v>592</v>
      </c>
      <c r="E15" s="36" t="s">
        <v>1421</v>
      </c>
      <c r="F15" s="36" t="s">
        <v>1421</v>
      </c>
      <c r="G15" s="38">
        <v>44726</v>
      </c>
      <c r="H15" s="36" t="s">
        <v>1410</v>
      </c>
      <c r="I15" s="35" t="s">
        <v>1411</v>
      </c>
      <c r="J15" s="36" t="s">
        <v>1410</v>
      </c>
      <c r="K15" s="35" t="s">
        <v>1411</v>
      </c>
    </row>
    <row r="16" spans="1:11" x14ac:dyDescent="0.2">
      <c r="A16" s="35" t="s">
        <v>1422</v>
      </c>
      <c r="B16" s="36" t="s">
        <v>1423</v>
      </c>
      <c r="C16" s="37" t="s">
        <v>1424</v>
      </c>
      <c r="D16" s="37" t="s">
        <v>1145</v>
      </c>
      <c r="E16" s="36" t="s">
        <v>260</v>
      </c>
      <c r="F16" s="36" t="s">
        <v>1181</v>
      </c>
      <c r="G16" s="38">
        <v>44929</v>
      </c>
      <c r="H16" s="36" t="s">
        <v>1425</v>
      </c>
      <c r="I16" s="35" t="s">
        <v>1426</v>
      </c>
      <c r="J16" s="36" t="s">
        <v>1425</v>
      </c>
      <c r="K16" s="35" t="s">
        <v>1426</v>
      </c>
    </row>
    <row r="17" spans="1:11" x14ac:dyDescent="0.2">
      <c r="A17" s="35" t="s">
        <v>1427</v>
      </c>
      <c r="B17" s="36" t="s">
        <v>1428</v>
      </c>
      <c r="C17" s="37" t="s">
        <v>1374</v>
      </c>
      <c r="D17" s="37" t="s">
        <v>871</v>
      </c>
      <c r="E17" s="36" t="s">
        <v>394</v>
      </c>
      <c r="F17" s="36" t="s">
        <v>1406</v>
      </c>
      <c r="G17" s="38">
        <v>45017</v>
      </c>
      <c r="H17" s="37" t="s">
        <v>955</v>
      </c>
      <c r="I17" s="35" t="s">
        <v>954</v>
      </c>
      <c r="J17" s="36" t="s">
        <v>1397</v>
      </c>
      <c r="K17" s="35" t="s">
        <v>1398</v>
      </c>
    </row>
    <row r="18" spans="1:11" x14ac:dyDescent="0.2">
      <c r="A18" s="35" t="s">
        <v>1429</v>
      </c>
      <c r="B18" s="36" t="s">
        <v>1430</v>
      </c>
      <c r="C18" s="37" t="s">
        <v>1243</v>
      </c>
      <c r="D18" s="37" t="s">
        <v>1261</v>
      </c>
      <c r="E18" s="36" t="s">
        <v>233</v>
      </c>
      <c r="F18" s="36" t="s">
        <v>1266</v>
      </c>
      <c r="G18" s="38">
        <v>44927</v>
      </c>
      <c r="H18" s="37" t="s">
        <v>1287</v>
      </c>
      <c r="I18" s="35" t="s">
        <v>1286</v>
      </c>
      <c r="J18" s="36" t="s">
        <v>1431</v>
      </c>
      <c r="K18" s="35" t="s">
        <v>1432</v>
      </c>
    </row>
    <row r="19" spans="1:11" x14ac:dyDescent="0.2">
      <c r="A19" s="35" t="s">
        <v>1433</v>
      </c>
      <c r="B19" s="36" t="s">
        <v>1434</v>
      </c>
      <c r="C19" s="37" t="s">
        <v>1355</v>
      </c>
      <c r="D19" s="37" t="s">
        <v>1435</v>
      </c>
      <c r="E19" s="36" t="s">
        <v>394</v>
      </c>
      <c r="F19" s="36" t="s">
        <v>1406</v>
      </c>
      <c r="G19" s="38">
        <v>44958</v>
      </c>
      <c r="H19" s="37" t="s">
        <v>1436</v>
      </c>
      <c r="I19" s="35" t="s">
        <v>1437</v>
      </c>
      <c r="J19" s="36" t="s">
        <v>1395</v>
      </c>
      <c r="K19" s="35" t="s">
        <v>1396</v>
      </c>
    </row>
    <row r="20" spans="1:11" x14ac:dyDescent="0.2">
      <c r="A20" s="35" t="s">
        <v>1438</v>
      </c>
      <c r="B20" s="36" t="s">
        <v>1439</v>
      </c>
      <c r="C20" s="37" t="s">
        <v>719</v>
      </c>
      <c r="D20" s="37" t="s">
        <v>683</v>
      </c>
      <c r="E20" s="36" t="s">
        <v>233</v>
      </c>
      <c r="F20" s="36" t="s">
        <v>705</v>
      </c>
      <c r="G20" s="38">
        <v>44927</v>
      </c>
      <c r="H20" s="36" t="s">
        <v>682</v>
      </c>
      <c r="I20" s="36" t="s">
        <v>681</v>
      </c>
      <c r="J20" s="36" t="s">
        <v>1404</v>
      </c>
      <c r="K20" s="35" t="s">
        <v>666</v>
      </c>
    </row>
    <row r="21" spans="1:11" x14ac:dyDescent="0.2">
      <c r="A21" s="35" t="s">
        <v>1432</v>
      </c>
      <c r="B21" s="37" t="s">
        <v>1431</v>
      </c>
      <c r="C21" s="37" t="s">
        <v>1243</v>
      </c>
      <c r="D21" s="37" t="s">
        <v>1243</v>
      </c>
      <c r="E21" s="36" t="s">
        <v>1440</v>
      </c>
      <c r="F21" s="36" t="s">
        <v>1440</v>
      </c>
      <c r="G21" s="38">
        <v>44762</v>
      </c>
      <c r="H21" s="36" t="s">
        <v>1431</v>
      </c>
      <c r="I21" s="35" t="s">
        <v>1432</v>
      </c>
      <c r="J21" s="36" t="s">
        <v>1431</v>
      </c>
      <c r="K21" s="35" t="s">
        <v>1432</v>
      </c>
    </row>
    <row r="22" spans="1:11" x14ac:dyDescent="0.2">
      <c r="A22" s="35" t="s">
        <v>1441</v>
      </c>
      <c r="B22" s="37" t="s">
        <v>1442</v>
      </c>
      <c r="C22" s="37" t="s">
        <v>1043</v>
      </c>
      <c r="D22" s="37" t="s">
        <v>1031</v>
      </c>
      <c r="E22" s="36" t="s">
        <v>394</v>
      </c>
      <c r="F22" s="36" t="s">
        <v>1406</v>
      </c>
      <c r="G22" s="38">
        <v>44927</v>
      </c>
      <c r="H22" s="36" t="s">
        <v>1399</v>
      </c>
      <c r="I22" s="35" t="s">
        <v>1400</v>
      </c>
      <c r="J22" s="36" t="s">
        <v>1399</v>
      </c>
      <c r="K22" s="35" t="s">
        <v>1400</v>
      </c>
    </row>
    <row r="23" spans="1:11" x14ac:dyDescent="0.2">
      <c r="A23" s="35" t="s">
        <v>1053</v>
      </c>
      <c r="B23" s="36" t="s">
        <v>1054</v>
      </c>
      <c r="C23" s="37" t="s">
        <v>1043</v>
      </c>
      <c r="D23" s="37" t="s">
        <v>1031</v>
      </c>
      <c r="E23" s="36" t="s">
        <v>1055</v>
      </c>
      <c r="F23" s="36" t="s">
        <v>1055</v>
      </c>
      <c r="G23" s="38">
        <v>44927</v>
      </c>
      <c r="H23" s="37" t="s">
        <v>1442</v>
      </c>
      <c r="I23" s="35" t="s">
        <v>1441</v>
      </c>
      <c r="J23" s="36" t="s">
        <v>1399</v>
      </c>
      <c r="K23" s="35" t="s">
        <v>1400</v>
      </c>
    </row>
    <row r="24" spans="1:11" x14ac:dyDescent="0.2">
      <c r="A24" s="35" t="s">
        <v>398</v>
      </c>
      <c r="B24" s="36" t="s">
        <v>399</v>
      </c>
      <c r="C24" s="37" t="s">
        <v>329</v>
      </c>
      <c r="D24" s="37" t="s">
        <v>268</v>
      </c>
      <c r="E24" s="36" t="s">
        <v>244</v>
      </c>
      <c r="F24" s="36" t="s">
        <v>244</v>
      </c>
      <c r="G24" s="38">
        <v>44927</v>
      </c>
      <c r="H24" s="37" t="s">
        <v>333</v>
      </c>
      <c r="I24" s="35" t="s">
        <v>332</v>
      </c>
      <c r="J24" s="36" t="s">
        <v>1403</v>
      </c>
      <c r="K24" s="35" t="s">
        <v>255</v>
      </c>
    </row>
    <row r="25" spans="1:11" x14ac:dyDescent="0.2">
      <c r="A25" s="35" t="s">
        <v>1254</v>
      </c>
      <c r="B25" s="37" t="s">
        <v>1255</v>
      </c>
      <c r="C25" s="37" t="s">
        <v>1043</v>
      </c>
      <c r="D25" s="37" t="s">
        <v>1040</v>
      </c>
      <c r="E25" s="36" t="s">
        <v>479</v>
      </c>
      <c r="F25" s="36" t="s">
        <v>479</v>
      </c>
      <c r="G25" s="38">
        <v>44927</v>
      </c>
      <c r="H25" s="36" t="s">
        <v>1399</v>
      </c>
      <c r="I25" s="35" t="s">
        <v>1400</v>
      </c>
      <c r="J25" s="36" t="s">
        <v>1399</v>
      </c>
      <c r="K25" s="35" t="s">
        <v>1400</v>
      </c>
    </row>
    <row r="26" spans="1:11" x14ac:dyDescent="0.2">
      <c r="A26" s="35" t="s">
        <v>1056</v>
      </c>
      <c r="B26" s="36" t="s">
        <v>1057</v>
      </c>
      <c r="C26" s="37" t="s">
        <v>1043</v>
      </c>
      <c r="D26" s="37" t="s">
        <v>1040</v>
      </c>
      <c r="E26" s="36" t="s">
        <v>1059</v>
      </c>
      <c r="F26" s="36" t="s">
        <v>1059</v>
      </c>
      <c r="G26" s="38">
        <v>44927</v>
      </c>
      <c r="H26" s="37" t="s">
        <v>1255</v>
      </c>
      <c r="I26" s="35" t="s">
        <v>1254</v>
      </c>
      <c r="J26" s="36" t="s">
        <v>1399</v>
      </c>
      <c r="K26" s="35" t="s">
        <v>1400</v>
      </c>
    </row>
    <row r="27" spans="1:11" ht="51" x14ac:dyDescent="0.2">
      <c r="A27" s="35" t="s">
        <v>545</v>
      </c>
      <c r="B27" s="36" t="s">
        <v>546</v>
      </c>
      <c r="C27" s="37" t="s">
        <v>329</v>
      </c>
      <c r="D27" s="39" t="s">
        <v>1414</v>
      </c>
      <c r="E27" s="36" t="s">
        <v>301</v>
      </c>
      <c r="F27" s="36" t="s">
        <v>548</v>
      </c>
      <c r="G27" s="38">
        <v>44929</v>
      </c>
      <c r="H27" s="37" t="s">
        <v>1415</v>
      </c>
      <c r="I27" s="35" t="s">
        <v>1416</v>
      </c>
      <c r="J27" s="36" t="s">
        <v>1403</v>
      </c>
      <c r="K27" s="35" t="s">
        <v>255</v>
      </c>
    </row>
    <row r="28" spans="1:11" x14ac:dyDescent="0.2">
      <c r="A28" s="35" t="s">
        <v>1443</v>
      </c>
      <c r="B28" s="36" t="s">
        <v>1444</v>
      </c>
      <c r="C28" s="37" t="s">
        <v>329</v>
      </c>
      <c r="D28" s="37" t="s">
        <v>247</v>
      </c>
      <c r="E28" s="36" t="s">
        <v>279</v>
      </c>
      <c r="F28" s="36" t="s">
        <v>385</v>
      </c>
      <c r="G28" s="38">
        <v>44986</v>
      </c>
      <c r="H28" s="37" t="s">
        <v>1401</v>
      </c>
      <c r="I28" s="35" t="s">
        <v>1402</v>
      </c>
      <c r="J28" s="36" t="s">
        <v>1403</v>
      </c>
      <c r="K28" s="35" t="s">
        <v>255</v>
      </c>
    </row>
    <row r="29" spans="1:11" x14ac:dyDescent="0.2">
      <c r="A29" s="35" t="s">
        <v>1246</v>
      </c>
      <c r="B29" s="36" t="s">
        <v>1247</v>
      </c>
      <c r="C29" s="37" t="s">
        <v>1243</v>
      </c>
      <c r="D29" s="37" t="s">
        <v>1248</v>
      </c>
      <c r="E29" s="36" t="s">
        <v>326</v>
      </c>
      <c r="F29" s="36" t="s">
        <v>326</v>
      </c>
      <c r="G29" s="38">
        <v>44927</v>
      </c>
      <c r="H29" s="37" t="s">
        <v>1290</v>
      </c>
      <c r="I29" s="35" t="s">
        <v>1289</v>
      </c>
      <c r="J29" s="36" t="s">
        <v>1431</v>
      </c>
      <c r="K29" s="35" t="s">
        <v>1432</v>
      </c>
    </row>
    <row r="30" spans="1:11" x14ac:dyDescent="0.2">
      <c r="A30" s="35" t="s">
        <v>561</v>
      </c>
      <c r="B30" s="36" t="s">
        <v>562</v>
      </c>
      <c r="C30" s="37" t="s">
        <v>547</v>
      </c>
      <c r="D30" s="37" t="s">
        <v>508</v>
      </c>
      <c r="E30" s="36" t="s">
        <v>295</v>
      </c>
      <c r="F30" s="36" t="s">
        <v>295</v>
      </c>
      <c r="G30" s="38">
        <v>44927</v>
      </c>
      <c r="H30" s="37" t="s">
        <v>1445</v>
      </c>
      <c r="I30" s="35" t="s">
        <v>511</v>
      </c>
      <c r="J30" s="36" t="s">
        <v>1446</v>
      </c>
      <c r="K30" s="35" t="s">
        <v>1447</v>
      </c>
    </row>
    <row r="31" spans="1:11" x14ac:dyDescent="0.2">
      <c r="A31" s="35" t="s">
        <v>439</v>
      </c>
      <c r="B31" s="36" t="s">
        <v>440</v>
      </c>
      <c r="C31" s="37" t="s">
        <v>329</v>
      </c>
      <c r="D31" s="37" t="s">
        <v>268</v>
      </c>
      <c r="E31" s="36" t="s">
        <v>227</v>
      </c>
      <c r="F31" s="36" t="s">
        <v>227</v>
      </c>
      <c r="G31" s="38">
        <v>44927</v>
      </c>
      <c r="H31" s="37" t="s">
        <v>333</v>
      </c>
      <c r="I31" s="35" t="s">
        <v>332</v>
      </c>
      <c r="J31" s="36" t="s">
        <v>1403</v>
      </c>
      <c r="K31" s="35" t="s">
        <v>255</v>
      </c>
    </row>
    <row r="32" spans="1:11" x14ac:dyDescent="0.2">
      <c r="A32" s="35" t="s">
        <v>703</v>
      </c>
      <c r="B32" s="36" t="s">
        <v>704</v>
      </c>
      <c r="C32" s="37" t="s">
        <v>719</v>
      </c>
      <c r="D32" s="37" t="s">
        <v>683</v>
      </c>
      <c r="E32" s="36" t="s">
        <v>233</v>
      </c>
      <c r="F32" s="36" t="s">
        <v>705</v>
      </c>
      <c r="G32" s="38">
        <v>44927</v>
      </c>
      <c r="H32" s="36" t="s">
        <v>682</v>
      </c>
      <c r="I32" s="36" t="s">
        <v>681</v>
      </c>
      <c r="J32" s="36" t="s">
        <v>1404</v>
      </c>
      <c r="K32" s="35" t="s">
        <v>666</v>
      </c>
    </row>
    <row r="33" spans="1:11" x14ac:dyDescent="0.2">
      <c r="A33" s="35" t="s">
        <v>1437</v>
      </c>
      <c r="B33" s="37" t="s">
        <v>1436</v>
      </c>
      <c r="C33" s="37" t="s">
        <v>1355</v>
      </c>
      <c r="D33" s="37" t="s">
        <v>1435</v>
      </c>
      <c r="E33" s="36" t="s">
        <v>394</v>
      </c>
      <c r="F33" s="36" t="s">
        <v>1406</v>
      </c>
      <c r="G33" s="38">
        <v>44929</v>
      </c>
      <c r="H33" s="36" t="s">
        <v>1395</v>
      </c>
      <c r="I33" s="35" t="s">
        <v>1396</v>
      </c>
      <c r="J33" s="36" t="s">
        <v>1395</v>
      </c>
      <c r="K33" s="35" t="s">
        <v>1396</v>
      </c>
    </row>
    <row r="34" spans="1:11" x14ac:dyDescent="0.2">
      <c r="A34" s="35" t="s">
        <v>570</v>
      </c>
      <c r="B34" s="37" t="s">
        <v>571</v>
      </c>
      <c r="C34" s="37" t="s">
        <v>1424</v>
      </c>
      <c r="D34" s="37" t="s">
        <v>1145</v>
      </c>
      <c r="E34" s="36" t="s">
        <v>233</v>
      </c>
      <c r="F34" s="36" t="s">
        <v>1169</v>
      </c>
      <c r="G34" s="38">
        <v>44927</v>
      </c>
      <c r="H34" s="36" t="s">
        <v>1425</v>
      </c>
      <c r="I34" s="35" t="s">
        <v>1426</v>
      </c>
      <c r="J34" s="36" t="s">
        <v>1425</v>
      </c>
      <c r="K34" s="35" t="s">
        <v>1426</v>
      </c>
    </row>
    <row r="35" spans="1:11" x14ac:dyDescent="0.2">
      <c r="A35" s="35" t="s">
        <v>1448</v>
      </c>
      <c r="B35" s="36" t="s">
        <v>1449</v>
      </c>
      <c r="C35" s="37" t="s">
        <v>329</v>
      </c>
      <c r="D35" s="37" t="s">
        <v>268</v>
      </c>
      <c r="E35" s="36" t="s">
        <v>394</v>
      </c>
      <c r="F35" s="36" t="s">
        <v>1406</v>
      </c>
      <c r="G35" s="38">
        <v>44927</v>
      </c>
      <c r="H35" s="37" t="s">
        <v>333</v>
      </c>
      <c r="I35" s="35" t="s">
        <v>332</v>
      </c>
      <c r="J35" s="36" t="s">
        <v>1403</v>
      </c>
      <c r="K35" s="35" t="s">
        <v>255</v>
      </c>
    </row>
    <row r="36" spans="1:11" x14ac:dyDescent="0.2">
      <c r="A36" s="35" t="s">
        <v>1450</v>
      </c>
      <c r="B36" s="36" t="s">
        <v>1451</v>
      </c>
      <c r="C36" s="37" t="s">
        <v>1043</v>
      </c>
      <c r="D36" s="37" t="s">
        <v>1037</v>
      </c>
      <c r="E36" s="36" t="s">
        <v>394</v>
      </c>
      <c r="F36" s="36" t="s">
        <v>1406</v>
      </c>
      <c r="G36" s="38">
        <v>44927</v>
      </c>
      <c r="H36" s="37" t="s">
        <v>1100</v>
      </c>
      <c r="I36" s="35" t="s">
        <v>1099</v>
      </c>
      <c r="J36" s="36" t="s">
        <v>1399</v>
      </c>
      <c r="K36" s="35" t="s">
        <v>1400</v>
      </c>
    </row>
    <row r="37" spans="1:11" x14ac:dyDescent="0.2">
      <c r="A37" s="35" t="s">
        <v>1452</v>
      </c>
      <c r="B37" s="36" t="s">
        <v>1453</v>
      </c>
      <c r="C37" s="37" t="s">
        <v>1243</v>
      </c>
      <c r="D37" s="37" t="s">
        <v>1225</v>
      </c>
      <c r="E37" s="36" t="s">
        <v>394</v>
      </c>
      <c r="F37" s="36" t="s">
        <v>1406</v>
      </c>
      <c r="G37" s="38">
        <v>44927</v>
      </c>
      <c r="H37" s="37" t="s">
        <v>1277</v>
      </c>
      <c r="I37" s="35" t="s">
        <v>1276</v>
      </c>
      <c r="J37" s="36" t="s">
        <v>1431</v>
      </c>
      <c r="K37" s="35" t="s">
        <v>1432</v>
      </c>
    </row>
    <row r="38" spans="1:11" x14ac:dyDescent="0.2">
      <c r="A38" s="35" t="s">
        <v>1286</v>
      </c>
      <c r="B38" s="37" t="s">
        <v>1287</v>
      </c>
      <c r="C38" s="37" t="s">
        <v>1243</v>
      </c>
      <c r="D38" s="37" t="s">
        <v>1261</v>
      </c>
      <c r="E38" s="36" t="s">
        <v>1288</v>
      </c>
      <c r="F38" s="36" t="s">
        <v>1288</v>
      </c>
      <c r="G38" s="38">
        <v>44927</v>
      </c>
      <c r="H38" s="36" t="s">
        <v>1431</v>
      </c>
      <c r="I38" s="35" t="s">
        <v>1432</v>
      </c>
      <c r="J38" s="36" t="s">
        <v>1431</v>
      </c>
      <c r="K38" s="35" t="s">
        <v>1432</v>
      </c>
    </row>
    <row r="39" spans="1:11" x14ac:dyDescent="0.2">
      <c r="A39" s="35" t="s">
        <v>673</v>
      </c>
      <c r="B39" s="36" t="s">
        <v>674</v>
      </c>
      <c r="C39" s="37" t="s">
        <v>765</v>
      </c>
      <c r="D39" s="37" t="s">
        <v>765</v>
      </c>
      <c r="E39" s="36" t="s">
        <v>233</v>
      </c>
      <c r="F39" s="36" t="s">
        <v>1394</v>
      </c>
      <c r="G39" s="38">
        <v>44927</v>
      </c>
      <c r="H39" s="40" t="s">
        <v>543</v>
      </c>
      <c r="I39" s="40" t="s">
        <v>542</v>
      </c>
      <c r="J39" s="40" t="s">
        <v>543</v>
      </c>
      <c r="K39" s="40" t="s">
        <v>542</v>
      </c>
    </row>
    <row r="40" spans="1:11" x14ac:dyDescent="0.2">
      <c r="A40" s="35" t="s">
        <v>1454</v>
      </c>
      <c r="B40" s="37" t="s">
        <v>1455</v>
      </c>
      <c r="C40" s="37" t="s">
        <v>1243</v>
      </c>
      <c r="D40" s="37" t="s">
        <v>1231</v>
      </c>
      <c r="E40" s="36" t="s">
        <v>279</v>
      </c>
      <c r="F40" s="36" t="s">
        <v>1394</v>
      </c>
      <c r="G40" s="38">
        <v>44927</v>
      </c>
      <c r="H40" s="36" t="s">
        <v>1431</v>
      </c>
      <c r="I40" s="35" t="s">
        <v>1432</v>
      </c>
      <c r="J40" s="36" t="s">
        <v>1431</v>
      </c>
      <c r="K40" s="35" t="s">
        <v>1432</v>
      </c>
    </row>
    <row r="41" spans="1:11" x14ac:dyDescent="0.2">
      <c r="A41" s="35" t="s">
        <v>1456</v>
      </c>
      <c r="B41" s="36" t="s">
        <v>1457</v>
      </c>
      <c r="C41" s="37" t="s">
        <v>1043</v>
      </c>
      <c r="D41" s="37" t="s">
        <v>1040</v>
      </c>
      <c r="E41" s="36" t="s">
        <v>220</v>
      </c>
      <c r="F41" s="36" t="s">
        <v>1458</v>
      </c>
      <c r="G41" s="38">
        <v>44927</v>
      </c>
      <c r="H41" s="37" t="s">
        <v>1255</v>
      </c>
      <c r="I41" s="35" t="s">
        <v>1254</v>
      </c>
      <c r="J41" s="36" t="s">
        <v>1399</v>
      </c>
      <c r="K41" s="35" t="s">
        <v>1400</v>
      </c>
    </row>
    <row r="42" spans="1:11" ht="51" x14ac:dyDescent="0.2">
      <c r="A42" s="35" t="s">
        <v>1459</v>
      </c>
      <c r="B42" s="36" t="s">
        <v>1460</v>
      </c>
      <c r="C42" s="37" t="s">
        <v>329</v>
      </c>
      <c r="D42" s="39" t="s">
        <v>1414</v>
      </c>
      <c r="E42" s="36" t="s">
        <v>233</v>
      </c>
      <c r="F42" s="36" t="s">
        <v>1461</v>
      </c>
      <c r="G42" s="38">
        <v>44927</v>
      </c>
      <c r="H42" s="37" t="s">
        <v>1415</v>
      </c>
      <c r="I42" s="35" t="s">
        <v>1416</v>
      </c>
      <c r="J42" s="36" t="s">
        <v>1403</v>
      </c>
      <c r="K42" s="35" t="s">
        <v>255</v>
      </c>
    </row>
    <row r="43" spans="1:11" x14ac:dyDescent="0.2">
      <c r="A43" s="35" t="s">
        <v>722</v>
      </c>
      <c r="B43" s="36" t="s">
        <v>723</v>
      </c>
      <c r="C43" s="37" t="s">
        <v>719</v>
      </c>
      <c r="D43" s="37" t="s">
        <v>683</v>
      </c>
      <c r="E43" s="36" t="s">
        <v>724</v>
      </c>
      <c r="F43" s="36" t="s">
        <v>724</v>
      </c>
      <c r="G43" s="38">
        <v>44927</v>
      </c>
      <c r="H43" s="36" t="s">
        <v>682</v>
      </c>
      <c r="I43" s="36" t="s">
        <v>681</v>
      </c>
      <c r="J43" s="36" t="s">
        <v>1404</v>
      </c>
      <c r="K43" s="35" t="s">
        <v>666</v>
      </c>
    </row>
    <row r="44" spans="1:11" x14ac:dyDescent="0.2">
      <c r="A44" s="35" t="s">
        <v>1402</v>
      </c>
      <c r="B44" s="37" t="s">
        <v>1401</v>
      </c>
      <c r="C44" s="37" t="s">
        <v>329</v>
      </c>
      <c r="D44" s="37" t="s">
        <v>247</v>
      </c>
      <c r="E44" s="36" t="s">
        <v>279</v>
      </c>
      <c r="F44" s="36" t="s">
        <v>257</v>
      </c>
      <c r="G44" s="38">
        <v>44958</v>
      </c>
      <c r="H44" s="36" t="s">
        <v>1403</v>
      </c>
      <c r="I44" s="35" t="s">
        <v>255</v>
      </c>
      <c r="J44" s="36" t="s">
        <v>1403</v>
      </c>
      <c r="K44" s="35" t="s">
        <v>255</v>
      </c>
    </row>
    <row r="45" spans="1:11" x14ac:dyDescent="0.2">
      <c r="A45" s="35" t="s">
        <v>940</v>
      </c>
      <c r="B45" s="36" t="s">
        <v>941</v>
      </c>
      <c r="C45" s="37" t="s">
        <v>1374</v>
      </c>
      <c r="D45" s="37" t="s">
        <v>858</v>
      </c>
      <c r="E45" s="36" t="s">
        <v>237</v>
      </c>
      <c r="F45" s="36" t="s">
        <v>237</v>
      </c>
      <c r="G45" s="38">
        <v>44927</v>
      </c>
      <c r="H45" s="37" t="s">
        <v>874</v>
      </c>
      <c r="I45" s="35" t="s">
        <v>873</v>
      </c>
      <c r="J45" s="36" t="s">
        <v>1397</v>
      </c>
      <c r="K45" s="35" t="s">
        <v>1398</v>
      </c>
    </row>
    <row r="46" spans="1:11" x14ac:dyDescent="0.2">
      <c r="A46" s="35" t="s">
        <v>484</v>
      </c>
      <c r="B46" s="36" t="s">
        <v>485</v>
      </c>
      <c r="C46" s="37" t="s">
        <v>488</v>
      </c>
      <c r="D46" s="37" t="s">
        <v>482</v>
      </c>
      <c r="E46" s="36" t="s">
        <v>350</v>
      </c>
      <c r="F46" s="36" t="s">
        <v>350</v>
      </c>
      <c r="G46" s="38">
        <v>44927</v>
      </c>
      <c r="H46" s="37" t="s">
        <v>1036</v>
      </c>
      <c r="I46" s="35" t="s">
        <v>1035</v>
      </c>
      <c r="J46" s="36" t="s">
        <v>1390</v>
      </c>
      <c r="K46" s="35" t="s">
        <v>1391</v>
      </c>
    </row>
    <row r="47" spans="1:11" x14ac:dyDescent="0.2">
      <c r="A47" s="35" t="s">
        <v>1426</v>
      </c>
      <c r="B47" s="37" t="s">
        <v>1425</v>
      </c>
      <c r="C47" s="37" t="s">
        <v>1424</v>
      </c>
      <c r="D47" s="37" t="s">
        <v>1424</v>
      </c>
      <c r="E47" s="36" t="s">
        <v>336</v>
      </c>
      <c r="F47" s="36" t="s">
        <v>1222</v>
      </c>
      <c r="G47" s="38">
        <v>44929</v>
      </c>
      <c r="H47" s="36" t="s">
        <v>1425</v>
      </c>
      <c r="I47" s="35" t="s">
        <v>1426</v>
      </c>
      <c r="J47" s="36" t="s">
        <v>1425</v>
      </c>
      <c r="K47" s="35" t="s">
        <v>1426</v>
      </c>
    </row>
    <row r="48" spans="1:11" x14ac:dyDescent="0.2">
      <c r="A48" s="35" t="s">
        <v>255</v>
      </c>
      <c r="B48" s="37" t="s">
        <v>1403</v>
      </c>
      <c r="C48" s="37" t="s">
        <v>592</v>
      </c>
      <c r="D48" s="37" t="s">
        <v>592</v>
      </c>
      <c r="E48" s="36" t="s">
        <v>580</v>
      </c>
      <c r="F48" s="36" t="s">
        <v>1394</v>
      </c>
      <c r="G48" s="38">
        <v>45061</v>
      </c>
      <c r="H48" s="36" t="s">
        <v>1410</v>
      </c>
      <c r="I48" s="35" t="s">
        <v>1411</v>
      </c>
      <c r="J48" s="36" t="s">
        <v>1410</v>
      </c>
      <c r="K48" s="35" t="s">
        <v>1411</v>
      </c>
    </row>
    <row r="49" spans="1:11" x14ac:dyDescent="0.2">
      <c r="A49" s="35" t="s">
        <v>1447</v>
      </c>
      <c r="B49" s="37" t="s">
        <v>1462</v>
      </c>
      <c r="C49" s="37" t="s">
        <v>547</v>
      </c>
      <c r="D49" s="37" t="s">
        <v>547</v>
      </c>
      <c r="E49" s="36" t="s">
        <v>1463</v>
      </c>
      <c r="F49" s="36" t="s">
        <v>1463</v>
      </c>
      <c r="G49" s="38">
        <v>44805</v>
      </c>
      <c r="H49" s="36" t="s">
        <v>1446</v>
      </c>
      <c r="I49" s="35" t="s">
        <v>1447</v>
      </c>
      <c r="J49" s="36" t="s">
        <v>1446</v>
      </c>
      <c r="K49" s="35" t="s">
        <v>1447</v>
      </c>
    </row>
    <row r="50" spans="1:11" x14ac:dyDescent="0.2">
      <c r="A50" s="35" t="s">
        <v>1120</v>
      </c>
      <c r="B50" s="36" t="s">
        <v>1464</v>
      </c>
      <c r="C50" s="37" t="s">
        <v>1043</v>
      </c>
      <c r="D50" s="37" t="s">
        <v>1040</v>
      </c>
      <c r="E50" s="36" t="s">
        <v>394</v>
      </c>
      <c r="F50" s="36" t="s">
        <v>1406</v>
      </c>
      <c r="G50" s="38">
        <v>44927</v>
      </c>
      <c r="H50" s="37" t="s">
        <v>1255</v>
      </c>
      <c r="I50" s="35" t="s">
        <v>1254</v>
      </c>
      <c r="J50" s="36" t="s">
        <v>1399</v>
      </c>
      <c r="K50" s="35" t="s">
        <v>1400</v>
      </c>
    </row>
    <row r="51" spans="1:11" x14ac:dyDescent="0.2">
      <c r="A51" s="35" t="s">
        <v>474</v>
      </c>
      <c r="B51" s="36" t="s">
        <v>475</v>
      </c>
      <c r="C51" s="37" t="s">
        <v>488</v>
      </c>
      <c r="D51" s="37" t="s">
        <v>467</v>
      </c>
      <c r="E51" s="36" t="s">
        <v>476</v>
      </c>
      <c r="F51" s="36" t="s">
        <v>476</v>
      </c>
      <c r="G51" s="38">
        <v>44927</v>
      </c>
      <c r="H51" s="36" t="s">
        <v>1390</v>
      </c>
      <c r="I51" s="35" t="s">
        <v>1391</v>
      </c>
      <c r="J51" s="36" t="s">
        <v>1390</v>
      </c>
      <c r="K51" s="35" t="s">
        <v>1391</v>
      </c>
    </row>
    <row r="52" spans="1:11" x14ac:dyDescent="0.2">
      <c r="A52" s="35" t="s">
        <v>974</v>
      </c>
      <c r="B52" s="36" t="s">
        <v>975</v>
      </c>
      <c r="C52" s="37" t="s">
        <v>1374</v>
      </c>
      <c r="D52" s="37" t="s">
        <v>853</v>
      </c>
      <c r="E52" s="36" t="s">
        <v>976</v>
      </c>
      <c r="F52" s="36" t="s">
        <v>976</v>
      </c>
      <c r="G52" s="38">
        <v>44927</v>
      </c>
      <c r="H52" s="37" t="s">
        <v>923</v>
      </c>
      <c r="I52" s="35" t="s">
        <v>922</v>
      </c>
      <c r="J52" s="36" t="s">
        <v>1397</v>
      </c>
      <c r="K52" s="35" t="s">
        <v>1398</v>
      </c>
    </row>
    <row r="53" spans="1:11" x14ac:dyDescent="0.2">
      <c r="A53" s="35" t="s">
        <v>873</v>
      </c>
      <c r="B53" s="37" t="s">
        <v>874</v>
      </c>
      <c r="C53" s="37" t="s">
        <v>1374</v>
      </c>
      <c r="D53" s="37" t="s">
        <v>858</v>
      </c>
      <c r="E53" s="36" t="s">
        <v>476</v>
      </c>
      <c r="F53" s="36" t="s">
        <v>476</v>
      </c>
      <c r="G53" s="38">
        <v>44927</v>
      </c>
      <c r="H53" s="36" t="s">
        <v>1397</v>
      </c>
      <c r="I53" s="35" t="s">
        <v>1398</v>
      </c>
      <c r="J53" s="36" t="s">
        <v>1397</v>
      </c>
      <c r="K53" s="35" t="s">
        <v>1398</v>
      </c>
    </row>
    <row r="54" spans="1:11" x14ac:dyDescent="0.2">
      <c r="A54" s="35" t="s">
        <v>318</v>
      </c>
      <c r="B54" s="36" t="s">
        <v>319</v>
      </c>
      <c r="C54" s="37" t="s">
        <v>329</v>
      </c>
      <c r="D54" s="37" t="s">
        <v>268</v>
      </c>
      <c r="E54" s="36" t="s">
        <v>320</v>
      </c>
      <c r="F54" s="36" t="s">
        <v>320</v>
      </c>
      <c r="G54" s="38">
        <v>44927</v>
      </c>
      <c r="H54" s="37" t="s">
        <v>333</v>
      </c>
      <c r="I54" s="35" t="s">
        <v>332</v>
      </c>
      <c r="J54" s="36" t="s">
        <v>1403</v>
      </c>
      <c r="K54" s="35" t="s">
        <v>255</v>
      </c>
    </row>
    <row r="55" spans="1:11" x14ac:dyDescent="0.2">
      <c r="A55" s="35" t="s">
        <v>1087</v>
      </c>
      <c r="B55" s="36" t="s">
        <v>1088</v>
      </c>
      <c r="C55" s="37" t="s">
        <v>1043</v>
      </c>
      <c r="D55" s="37" t="s">
        <v>1040</v>
      </c>
      <c r="E55" s="36" t="s">
        <v>254</v>
      </c>
      <c r="F55" s="36" t="s">
        <v>254</v>
      </c>
      <c r="G55" s="38">
        <v>44927</v>
      </c>
      <c r="H55" s="37" t="s">
        <v>1255</v>
      </c>
      <c r="I55" s="35" t="s">
        <v>1254</v>
      </c>
      <c r="J55" s="36" t="s">
        <v>1399</v>
      </c>
      <c r="K55" s="35" t="s">
        <v>1400</v>
      </c>
    </row>
    <row r="56" spans="1:11" x14ac:dyDescent="0.2">
      <c r="A56" s="35" t="s">
        <v>681</v>
      </c>
      <c r="B56" s="37" t="s">
        <v>682</v>
      </c>
      <c r="C56" s="37" t="s">
        <v>719</v>
      </c>
      <c r="D56" s="37" t="s">
        <v>683</v>
      </c>
      <c r="E56" s="36" t="s">
        <v>220</v>
      </c>
      <c r="F56" s="36" t="s">
        <v>1465</v>
      </c>
      <c r="G56" s="38">
        <v>44927</v>
      </c>
      <c r="H56" s="36" t="s">
        <v>1404</v>
      </c>
      <c r="I56" s="35" t="s">
        <v>666</v>
      </c>
      <c r="J56" s="36" t="s">
        <v>1404</v>
      </c>
      <c r="K56" s="35" t="s">
        <v>666</v>
      </c>
    </row>
    <row r="57" spans="1:11" x14ac:dyDescent="0.2">
      <c r="A57" s="35" t="s">
        <v>648</v>
      </c>
      <c r="B57" s="36" t="s">
        <v>649</v>
      </c>
      <c r="C57" s="37" t="s">
        <v>719</v>
      </c>
      <c r="D57" s="37" t="s">
        <v>661</v>
      </c>
      <c r="E57" s="36" t="s">
        <v>260</v>
      </c>
      <c r="F57" s="36" t="s">
        <v>1466</v>
      </c>
      <c r="G57" s="38">
        <v>44927</v>
      </c>
      <c r="H57" s="36" t="s">
        <v>715</v>
      </c>
      <c r="I57" s="35" t="s">
        <v>714</v>
      </c>
      <c r="J57" s="36" t="s">
        <v>1404</v>
      </c>
      <c r="K57" s="35" t="s">
        <v>666</v>
      </c>
    </row>
    <row r="58" spans="1:11" x14ac:dyDescent="0.2">
      <c r="A58" s="35">
        <v>1003541370</v>
      </c>
      <c r="B58" s="36" t="s">
        <v>1467</v>
      </c>
      <c r="C58" s="37" t="s">
        <v>1243</v>
      </c>
      <c r="D58" s="37" t="s">
        <v>1225</v>
      </c>
      <c r="E58" s="36" t="s">
        <v>260</v>
      </c>
      <c r="F58" s="36" t="s">
        <v>1468</v>
      </c>
      <c r="G58" s="38">
        <v>44986</v>
      </c>
      <c r="H58" s="37" t="s">
        <v>1277</v>
      </c>
      <c r="I58" s="35" t="s">
        <v>1276</v>
      </c>
      <c r="J58" s="36" t="s">
        <v>1431</v>
      </c>
      <c r="K58" s="35" t="s">
        <v>1432</v>
      </c>
    </row>
    <row r="59" spans="1:11" x14ac:dyDescent="0.2">
      <c r="A59" s="35" t="s">
        <v>332</v>
      </c>
      <c r="B59" s="37" t="s">
        <v>333</v>
      </c>
      <c r="C59" s="37" t="s">
        <v>329</v>
      </c>
      <c r="D59" s="37" t="s">
        <v>268</v>
      </c>
      <c r="E59" s="36" t="s">
        <v>295</v>
      </c>
      <c r="F59" s="36" t="s">
        <v>295</v>
      </c>
      <c r="G59" s="38">
        <v>44927</v>
      </c>
      <c r="H59" s="36" t="s">
        <v>1403</v>
      </c>
      <c r="I59" s="35" t="s">
        <v>255</v>
      </c>
      <c r="J59" s="36" t="s">
        <v>1403</v>
      </c>
      <c r="K59" s="35" t="s">
        <v>255</v>
      </c>
    </row>
    <row r="60" spans="1:11" x14ac:dyDescent="0.2">
      <c r="A60" s="35" t="s">
        <v>307</v>
      </c>
      <c r="B60" s="36" t="s">
        <v>308</v>
      </c>
      <c r="C60" s="37" t="s">
        <v>329</v>
      </c>
      <c r="D60" s="37" t="s">
        <v>268</v>
      </c>
      <c r="E60" s="36" t="s">
        <v>244</v>
      </c>
      <c r="F60" s="36" t="s">
        <v>244</v>
      </c>
      <c r="G60" s="38">
        <v>44927</v>
      </c>
      <c r="H60" s="37" t="s">
        <v>333</v>
      </c>
      <c r="I60" s="35" t="s">
        <v>332</v>
      </c>
      <c r="J60" s="36" t="s">
        <v>1403</v>
      </c>
      <c r="K60" s="35" t="s">
        <v>255</v>
      </c>
    </row>
    <row r="61" spans="1:11" x14ac:dyDescent="0.2">
      <c r="A61" s="35" t="s">
        <v>252</v>
      </c>
      <c r="B61" s="36" t="s">
        <v>253</v>
      </c>
      <c r="C61" s="37" t="s">
        <v>1043</v>
      </c>
      <c r="D61" s="37" t="s">
        <v>1043</v>
      </c>
      <c r="E61" s="36" t="s">
        <v>254</v>
      </c>
      <c r="F61" s="36" t="s">
        <v>254</v>
      </c>
      <c r="G61" s="38">
        <v>44927</v>
      </c>
      <c r="H61" s="37" t="s">
        <v>1399</v>
      </c>
      <c r="I61" s="35" t="s">
        <v>1400</v>
      </c>
      <c r="J61" s="36" t="s">
        <v>1399</v>
      </c>
      <c r="K61" s="35" t="s">
        <v>1400</v>
      </c>
    </row>
    <row r="62" spans="1:11" x14ac:dyDescent="0.2">
      <c r="A62" s="35" t="s">
        <v>296</v>
      </c>
      <c r="B62" s="36" t="s">
        <v>297</v>
      </c>
      <c r="C62" s="37" t="s">
        <v>329</v>
      </c>
      <c r="D62" s="37" t="s">
        <v>268</v>
      </c>
      <c r="E62" s="36" t="s">
        <v>298</v>
      </c>
      <c r="F62" s="36" t="s">
        <v>298</v>
      </c>
      <c r="G62" s="38">
        <v>44927</v>
      </c>
      <c r="H62" s="37" t="s">
        <v>333</v>
      </c>
      <c r="I62" s="35" t="s">
        <v>332</v>
      </c>
      <c r="J62" s="36" t="s">
        <v>1403</v>
      </c>
      <c r="K62" s="35" t="s">
        <v>255</v>
      </c>
    </row>
    <row r="63" spans="1:11" x14ac:dyDescent="0.2">
      <c r="A63" s="35" t="s">
        <v>1289</v>
      </c>
      <c r="B63" s="37" t="s">
        <v>1290</v>
      </c>
      <c r="C63" s="37" t="s">
        <v>1243</v>
      </c>
      <c r="D63" s="37" t="s">
        <v>1248</v>
      </c>
      <c r="E63" s="36" t="s">
        <v>244</v>
      </c>
      <c r="F63" s="36" t="s">
        <v>244</v>
      </c>
      <c r="G63" s="38">
        <v>44927</v>
      </c>
      <c r="H63" s="36" t="s">
        <v>1431</v>
      </c>
      <c r="I63" s="35" t="s">
        <v>1432</v>
      </c>
      <c r="J63" s="36" t="s">
        <v>1431</v>
      </c>
      <c r="K63" s="35" t="s">
        <v>1432</v>
      </c>
    </row>
    <row r="64" spans="1:11" x14ac:dyDescent="0.2">
      <c r="A64" s="35" t="s">
        <v>1469</v>
      </c>
      <c r="B64" s="36" t="s">
        <v>1470</v>
      </c>
      <c r="C64" s="37" t="s">
        <v>1243</v>
      </c>
      <c r="D64" s="37" t="s">
        <v>1231</v>
      </c>
      <c r="E64" s="36" t="s">
        <v>233</v>
      </c>
      <c r="F64" s="36" t="s">
        <v>1293</v>
      </c>
      <c r="G64" s="38">
        <v>44927</v>
      </c>
      <c r="H64" s="37" t="s">
        <v>1455</v>
      </c>
      <c r="I64" s="35" t="s">
        <v>1454</v>
      </c>
      <c r="J64" s="36" t="s">
        <v>1431</v>
      </c>
      <c r="K64" s="35" t="s">
        <v>1432</v>
      </c>
    </row>
    <row r="65" spans="1:11" x14ac:dyDescent="0.2">
      <c r="A65" s="35">
        <v>1104485121</v>
      </c>
      <c r="B65" s="36" t="s">
        <v>1471</v>
      </c>
      <c r="C65" s="37" t="s">
        <v>1355</v>
      </c>
      <c r="D65" s="37" t="s">
        <v>1435</v>
      </c>
      <c r="E65" s="36" t="s">
        <v>613</v>
      </c>
      <c r="F65" s="36" t="s">
        <v>899</v>
      </c>
      <c r="G65" s="38">
        <v>44929</v>
      </c>
      <c r="H65" s="37" t="s">
        <v>1436</v>
      </c>
      <c r="I65" s="35" t="s">
        <v>1437</v>
      </c>
      <c r="J65" s="36" t="s">
        <v>1410</v>
      </c>
      <c r="K65" s="35" t="s">
        <v>1411</v>
      </c>
    </row>
    <row r="66" spans="1:11" x14ac:dyDescent="0.2">
      <c r="A66" s="35" t="s">
        <v>1472</v>
      </c>
      <c r="B66" s="36" t="s">
        <v>1473</v>
      </c>
      <c r="C66" s="37" t="s">
        <v>719</v>
      </c>
      <c r="D66" s="37" t="s">
        <v>661</v>
      </c>
      <c r="E66" s="36" t="s">
        <v>260</v>
      </c>
      <c r="F66" s="36" t="s">
        <v>1466</v>
      </c>
      <c r="G66" s="38">
        <v>44927</v>
      </c>
      <c r="H66" s="36" t="s">
        <v>715</v>
      </c>
      <c r="I66" s="35" t="s">
        <v>714</v>
      </c>
      <c r="J66" s="36" t="s">
        <v>1404</v>
      </c>
      <c r="K66" s="35" t="s">
        <v>666</v>
      </c>
    </row>
    <row r="67" spans="1:11" x14ac:dyDescent="0.2">
      <c r="A67" s="35" t="s">
        <v>931</v>
      </c>
      <c r="B67" s="36" t="s">
        <v>932</v>
      </c>
      <c r="C67" s="37" t="s">
        <v>1374</v>
      </c>
      <c r="D67" s="37" t="s">
        <v>871</v>
      </c>
      <c r="E67" s="36" t="s">
        <v>254</v>
      </c>
      <c r="F67" s="36" t="s">
        <v>254</v>
      </c>
      <c r="G67" s="38">
        <v>44927</v>
      </c>
      <c r="H67" s="37" t="s">
        <v>955</v>
      </c>
      <c r="I67" s="35" t="s">
        <v>954</v>
      </c>
      <c r="J67" s="36" t="s">
        <v>1397</v>
      </c>
      <c r="K67" s="35" t="s">
        <v>1398</v>
      </c>
    </row>
    <row r="68" spans="1:11" x14ac:dyDescent="0.2">
      <c r="A68" s="35" t="s">
        <v>574</v>
      </c>
      <c r="B68" s="36" t="s">
        <v>575</v>
      </c>
      <c r="C68" s="37" t="s">
        <v>547</v>
      </c>
      <c r="D68" s="37" t="s">
        <v>508</v>
      </c>
      <c r="E68" s="36" t="s">
        <v>539</v>
      </c>
      <c r="F68" s="36" t="s">
        <v>539</v>
      </c>
      <c r="G68" s="38">
        <v>44927</v>
      </c>
      <c r="H68" s="37" t="s">
        <v>1445</v>
      </c>
      <c r="I68" s="35" t="s">
        <v>511</v>
      </c>
      <c r="J68" s="36" t="s">
        <v>1446</v>
      </c>
      <c r="K68" s="35" t="s">
        <v>1447</v>
      </c>
    </row>
    <row r="69" spans="1:11" x14ac:dyDescent="0.2">
      <c r="A69" s="35" t="s">
        <v>429</v>
      </c>
      <c r="B69" s="36" t="s">
        <v>430</v>
      </c>
      <c r="C69" s="37" t="s">
        <v>329</v>
      </c>
      <c r="D69" s="37" t="s">
        <v>247</v>
      </c>
      <c r="E69" s="36" t="s">
        <v>431</v>
      </c>
      <c r="F69" s="36" t="s">
        <v>431</v>
      </c>
      <c r="G69" s="38">
        <v>44927</v>
      </c>
      <c r="H69" s="37" t="s">
        <v>1401</v>
      </c>
      <c r="I69" s="35" t="s">
        <v>1402</v>
      </c>
      <c r="J69" s="36" t="s">
        <v>1403</v>
      </c>
      <c r="K69" s="35" t="s">
        <v>255</v>
      </c>
    </row>
    <row r="70" spans="1:11" x14ac:dyDescent="0.2">
      <c r="A70" s="35" t="s">
        <v>305</v>
      </c>
      <c r="B70" s="36" t="s">
        <v>1474</v>
      </c>
      <c r="C70" s="37" t="s">
        <v>329</v>
      </c>
      <c r="D70" s="37" t="s">
        <v>247</v>
      </c>
      <c r="E70" s="36" t="s">
        <v>248</v>
      </c>
      <c r="F70" s="36" t="s">
        <v>249</v>
      </c>
      <c r="G70" s="38">
        <v>44927</v>
      </c>
      <c r="H70" s="37" t="s">
        <v>1401</v>
      </c>
      <c r="I70" s="35" t="s">
        <v>1402</v>
      </c>
      <c r="J70" s="36" t="s">
        <v>1403</v>
      </c>
      <c r="K70" s="35" t="s">
        <v>255</v>
      </c>
    </row>
    <row r="71" spans="1:11" x14ac:dyDescent="0.2">
      <c r="A71" s="35" t="s">
        <v>1475</v>
      </c>
      <c r="B71" s="36" t="s">
        <v>1476</v>
      </c>
      <c r="C71" s="37" t="s">
        <v>1424</v>
      </c>
      <c r="D71" s="37" t="s">
        <v>1477</v>
      </c>
      <c r="E71" s="36" t="s">
        <v>336</v>
      </c>
      <c r="F71" s="36" t="s">
        <v>1222</v>
      </c>
      <c r="G71" s="38">
        <v>44927</v>
      </c>
      <c r="H71" s="37" t="s">
        <v>1168</v>
      </c>
      <c r="I71" s="35" t="s">
        <v>1167</v>
      </c>
      <c r="J71" s="36" t="s">
        <v>1425</v>
      </c>
      <c r="K71" s="35" t="s">
        <v>1426</v>
      </c>
    </row>
    <row r="72" spans="1:11" x14ac:dyDescent="0.2">
      <c r="A72" s="35" t="s">
        <v>823</v>
      </c>
      <c r="B72" s="37" t="s">
        <v>824</v>
      </c>
      <c r="C72" s="37" t="s">
        <v>547</v>
      </c>
      <c r="D72" s="37" t="s">
        <v>529</v>
      </c>
      <c r="E72" s="36" t="s">
        <v>233</v>
      </c>
      <c r="F72" s="36" t="s">
        <v>825</v>
      </c>
      <c r="G72" s="38">
        <v>44927</v>
      </c>
      <c r="H72" s="36" t="s">
        <v>1446</v>
      </c>
      <c r="I72" s="35" t="s">
        <v>1447</v>
      </c>
      <c r="J72" s="36" t="s">
        <v>1446</v>
      </c>
      <c r="K72" s="35" t="s">
        <v>1447</v>
      </c>
    </row>
    <row r="73" spans="1:11" x14ac:dyDescent="0.2">
      <c r="A73" s="35" t="s">
        <v>383</v>
      </c>
      <c r="B73" s="36" t="s">
        <v>384</v>
      </c>
      <c r="C73" s="37" t="s">
        <v>329</v>
      </c>
      <c r="D73" s="37" t="s">
        <v>247</v>
      </c>
      <c r="E73" s="36" t="s">
        <v>279</v>
      </c>
      <c r="F73" s="36" t="s">
        <v>385</v>
      </c>
      <c r="G73" s="38">
        <v>44927</v>
      </c>
      <c r="H73" s="37" t="s">
        <v>1401</v>
      </c>
      <c r="I73" s="35" t="s">
        <v>1402</v>
      </c>
      <c r="J73" s="36" t="s">
        <v>1403</v>
      </c>
      <c r="K73" s="35" t="s">
        <v>255</v>
      </c>
    </row>
    <row r="74" spans="1:11" x14ac:dyDescent="0.2">
      <c r="A74" s="35" t="s">
        <v>462</v>
      </c>
      <c r="B74" s="36" t="s">
        <v>463</v>
      </c>
      <c r="C74" s="37" t="s">
        <v>329</v>
      </c>
      <c r="D74" s="37" t="s">
        <v>268</v>
      </c>
      <c r="E74" s="36" t="s">
        <v>264</v>
      </c>
      <c r="F74" s="36" t="s">
        <v>448</v>
      </c>
      <c r="G74" s="38">
        <v>44927</v>
      </c>
      <c r="H74" s="37" t="s">
        <v>333</v>
      </c>
      <c r="I74" s="35" t="s">
        <v>332</v>
      </c>
      <c r="J74" s="36" t="s">
        <v>1403</v>
      </c>
      <c r="K74" s="35" t="s">
        <v>255</v>
      </c>
    </row>
    <row r="75" spans="1:11" x14ac:dyDescent="0.2">
      <c r="A75" s="35" t="s">
        <v>367</v>
      </c>
      <c r="B75" s="36" t="s">
        <v>368</v>
      </c>
      <c r="C75" s="37" t="s">
        <v>329</v>
      </c>
      <c r="D75" s="37" t="s">
        <v>273</v>
      </c>
      <c r="E75" s="36" t="s">
        <v>369</v>
      </c>
      <c r="F75" s="36" t="s">
        <v>369</v>
      </c>
      <c r="G75" s="38">
        <v>44927</v>
      </c>
      <c r="H75" s="37" t="s">
        <v>1478</v>
      </c>
      <c r="I75" s="35" t="s">
        <v>1479</v>
      </c>
      <c r="J75" s="36" t="s">
        <v>1403</v>
      </c>
      <c r="K75" s="35" t="s">
        <v>255</v>
      </c>
    </row>
    <row r="76" spans="1:11" x14ac:dyDescent="0.2">
      <c r="A76" s="35" t="s">
        <v>977</v>
      </c>
      <c r="B76" s="36" t="s">
        <v>978</v>
      </c>
      <c r="C76" s="37" t="s">
        <v>1043</v>
      </c>
      <c r="D76" s="37" t="s">
        <v>1043</v>
      </c>
      <c r="E76" s="36" t="s">
        <v>295</v>
      </c>
      <c r="F76" s="36" t="s">
        <v>295</v>
      </c>
      <c r="G76" s="38">
        <v>44927</v>
      </c>
      <c r="H76" s="37" t="s">
        <v>1399</v>
      </c>
      <c r="I76" s="35" t="s">
        <v>1400</v>
      </c>
      <c r="J76" s="36" t="s">
        <v>1399</v>
      </c>
      <c r="K76" s="35" t="s">
        <v>1400</v>
      </c>
    </row>
    <row r="77" spans="1:11" x14ac:dyDescent="0.2">
      <c r="A77" s="35" t="s">
        <v>1480</v>
      </c>
      <c r="B77" s="36" t="s">
        <v>1481</v>
      </c>
      <c r="C77" s="37" t="s">
        <v>329</v>
      </c>
      <c r="D77" s="37" t="s">
        <v>247</v>
      </c>
      <c r="E77" s="36" t="s">
        <v>264</v>
      </c>
      <c r="F77" s="36" t="s">
        <v>378</v>
      </c>
      <c r="G77" s="38">
        <v>44927</v>
      </c>
      <c r="H77" s="37" t="s">
        <v>1401</v>
      </c>
      <c r="I77" s="35" t="s">
        <v>1402</v>
      </c>
      <c r="J77" s="36" t="s">
        <v>1403</v>
      </c>
      <c r="K77" s="35" t="s">
        <v>255</v>
      </c>
    </row>
    <row r="78" spans="1:11" x14ac:dyDescent="0.2">
      <c r="A78" s="35" t="s">
        <v>1074</v>
      </c>
      <c r="B78" s="36" t="s">
        <v>1075</v>
      </c>
      <c r="C78" s="37" t="s">
        <v>1043</v>
      </c>
      <c r="D78" s="37" t="s">
        <v>1031</v>
      </c>
      <c r="E78" s="36" t="s">
        <v>1076</v>
      </c>
      <c r="F78" s="36" t="s">
        <v>1076</v>
      </c>
      <c r="G78" s="38">
        <v>44927</v>
      </c>
      <c r="H78" s="37" t="s">
        <v>1442</v>
      </c>
      <c r="I78" s="35" t="s">
        <v>1441</v>
      </c>
      <c r="J78" s="36" t="s">
        <v>1399</v>
      </c>
      <c r="K78" s="35" t="s">
        <v>1400</v>
      </c>
    </row>
    <row r="79" spans="1:11" x14ac:dyDescent="0.2">
      <c r="A79" s="35" t="s">
        <v>954</v>
      </c>
      <c r="B79" s="37" t="s">
        <v>955</v>
      </c>
      <c r="C79" s="37" t="s">
        <v>1374</v>
      </c>
      <c r="D79" s="37" t="s">
        <v>871</v>
      </c>
      <c r="E79" s="36" t="s">
        <v>956</v>
      </c>
      <c r="F79" s="36" t="s">
        <v>956</v>
      </c>
      <c r="G79" s="38">
        <v>44927</v>
      </c>
      <c r="H79" s="36" t="s">
        <v>1397</v>
      </c>
      <c r="I79" s="35" t="s">
        <v>1398</v>
      </c>
      <c r="J79" s="36" t="s">
        <v>1397</v>
      </c>
      <c r="K79" s="35" t="s">
        <v>1398</v>
      </c>
    </row>
    <row r="80" spans="1:11" x14ac:dyDescent="0.2">
      <c r="A80" s="35" t="s">
        <v>400</v>
      </c>
      <c r="B80" s="36" t="s">
        <v>1482</v>
      </c>
      <c r="C80" s="37" t="s">
        <v>329</v>
      </c>
      <c r="D80" s="37" t="s">
        <v>268</v>
      </c>
      <c r="E80" s="36" t="s">
        <v>301</v>
      </c>
      <c r="F80" s="36" t="s">
        <v>1483</v>
      </c>
      <c r="G80" s="38">
        <v>44927</v>
      </c>
      <c r="H80" s="37" t="s">
        <v>333</v>
      </c>
      <c r="I80" s="35" t="s">
        <v>332</v>
      </c>
      <c r="J80" s="36" t="s">
        <v>1403</v>
      </c>
      <c r="K80" s="35" t="s">
        <v>255</v>
      </c>
    </row>
    <row r="81" spans="1:11" x14ac:dyDescent="0.2">
      <c r="A81" s="35" t="s">
        <v>1484</v>
      </c>
      <c r="B81" s="36" t="s">
        <v>1485</v>
      </c>
      <c r="C81" s="37" t="s">
        <v>329</v>
      </c>
      <c r="D81" s="37" t="s">
        <v>268</v>
      </c>
      <c r="E81" s="36" t="s">
        <v>264</v>
      </c>
      <c r="F81" s="36" t="s">
        <v>265</v>
      </c>
      <c r="G81" s="38">
        <v>44927</v>
      </c>
      <c r="H81" s="37" t="s">
        <v>333</v>
      </c>
      <c r="I81" s="35" t="s">
        <v>332</v>
      </c>
      <c r="J81" s="36" t="s">
        <v>1403</v>
      </c>
      <c r="K81" s="35" t="s">
        <v>255</v>
      </c>
    </row>
    <row r="82" spans="1:11" x14ac:dyDescent="0.2">
      <c r="A82" s="35" t="s">
        <v>885</v>
      </c>
      <c r="B82" s="36" t="s">
        <v>886</v>
      </c>
      <c r="C82" s="37" t="s">
        <v>1374</v>
      </c>
      <c r="D82" s="37" t="s">
        <v>858</v>
      </c>
      <c r="E82" s="36" t="s">
        <v>326</v>
      </c>
      <c r="F82" s="36" t="s">
        <v>326</v>
      </c>
      <c r="G82" s="38">
        <v>44927</v>
      </c>
      <c r="H82" s="37" t="s">
        <v>874</v>
      </c>
      <c r="I82" s="35" t="s">
        <v>873</v>
      </c>
      <c r="J82" s="36" t="s">
        <v>1397</v>
      </c>
      <c r="K82" s="35" t="s">
        <v>1398</v>
      </c>
    </row>
    <row r="83" spans="1:11" x14ac:dyDescent="0.2">
      <c r="A83" s="35" t="s">
        <v>511</v>
      </c>
      <c r="B83" s="37" t="s">
        <v>1445</v>
      </c>
      <c r="C83" s="37" t="s">
        <v>547</v>
      </c>
      <c r="D83" s="37" t="s">
        <v>508</v>
      </c>
      <c r="E83" s="36" t="s">
        <v>539</v>
      </c>
      <c r="F83" s="36" t="s">
        <v>539</v>
      </c>
      <c r="G83" s="38">
        <v>44927</v>
      </c>
      <c r="H83" s="36" t="s">
        <v>1446</v>
      </c>
      <c r="I83" s="35" t="s">
        <v>1447</v>
      </c>
      <c r="J83" s="36" t="s">
        <v>1446</v>
      </c>
      <c r="K83" s="35" t="s">
        <v>1447</v>
      </c>
    </row>
    <row r="84" spans="1:11" x14ac:dyDescent="0.2">
      <c r="A84" s="35" t="s">
        <v>537</v>
      </c>
      <c r="B84" s="36" t="s">
        <v>538</v>
      </c>
      <c r="C84" s="37" t="s">
        <v>547</v>
      </c>
      <c r="D84" s="37" t="s">
        <v>529</v>
      </c>
      <c r="E84" s="36" t="s">
        <v>539</v>
      </c>
      <c r="F84" s="36" t="s">
        <v>539</v>
      </c>
      <c r="G84" s="38">
        <v>44927</v>
      </c>
      <c r="H84" s="37" t="s">
        <v>824</v>
      </c>
      <c r="I84" s="35" t="s">
        <v>823</v>
      </c>
      <c r="J84" s="36" t="s">
        <v>1446</v>
      </c>
      <c r="K84" s="35" t="s">
        <v>1447</v>
      </c>
    </row>
    <row r="85" spans="1:11" x14ac:dyDescent="0.2">
      <c r="A85" s="35" t="s">
        <v>1486</v>
      </c>
      <c r="B85" s="36" t="s">
        <v>1487</v>
      </c>
      <c r="C85" s="37" t="s">
        <v>1043</v>
      </c>
      <c r="D85" s="37" t="s">
        <v>1031</v>
      </c>
      <c r="E85" s="36" t="s">
        <v>220</v>
      </c>
      <c r="F85" s="36" t="s">
        <v>1488</v>
      </c>
      <c r="G85" s="38">
        <v>44927</v>
      </c>
      <c r="H85" s="37" t="s">
        <v>1442</v>
      </c>
      <c r="I85" s="35" t="s">
        <v>1441</v>
      </c>
      <c r="J85" s="36" t="s">
        <v>1399</v>
      </c>
      <c r="K85" s="35" t="s">
        <v>1400</v>
      </c>
    </row>
    <row r="86" spans="1:11" ht="51" x14ac:dyDescent="0.2">
      <c r="A86" s="35" t="s">
        <v>406</v>
      </c>
      <c r="B86" s="36" t="s">
        <v>1489</v>
      </c>
      <c r="C86" s="37" t="s">
        <v>329</v>
      </c>
      <c r="D86" s="39" t="s">
        <v>1414</v>
      </c>
      <c r="E86" s="36" t="s">
        <v>323</v>
      </c>
      <c r="F86" s="36" t="s">
        <v>323</v>
      </c>
      <c r="G86" s="38">
        <v>44927</v>
      </c>
      <c r="H86" s="37" t="s">
        <v>1415</v>
      </c>
      <c r="I86" s="35" t="s">
        <v>1416</v>
      </c>
      <c r="J86" s="36" t="s">
        <v>1403</v>
      </c>
      <c r="K86" s="35" t="s">
        <v>255</v>
      </c>
    </row>
    <row r="87" spans="1:11" x14ac:dyDescent="0.2">
      <c r="A87" s="35" t="s">
        <v>1084</v>
      </c>
      <c r="B87" s="36" t="s">
        <v>1085</v>
      </c>
      <c r="C87" s="37" t="s">
        <v>1043</v>
      </c>
      <c r="D87" s="37" t="s">
        <v>1040</v>
      </c>
      <c r="E87" s="36" t="s">
        <v>1086</v>
      </c>
      <c r="F87" s="36" t="s">
        <v>1086</v>
      </c>
      <c r="G87" s="38">
        <v>44927</v>
      </c>
      <c r="H87" s="37" t="s">
        <v>1255</v>
      </c>
      <c r="I87" s="35" t="s">
        <v>1254</v>
      </c>
      <c r="J87" s="36" t="s">
        <v>1399</v>
      </c>
      <c r="K87" s="35" t="s">
        <v>1400</v>
      </c>
    </row>
    <row r="88" spans="1:11" x14ac:dyDescent="0.2">
      <c r="A88" s="35" t="s">
        <v>1099</v>
      </c>
      <c r="B88" s="37" t="s">
        <v>1100</v>
      </c>
      <c r="C88" s="37" t="s">
        <v>1043</v>
      </c>
      <c r="D88" s="37" t="s">
        <v>1037</v>
      </c>
      <c r="E88" s="36" t="s">
        <v>233</v>
      </c>
      <c r="F88" s="36" t="s">
        <v>1109</v>
      </c>
      <c r="G88" s="38">
        <v>44927</v>
      </c>
      <c r="H88" s="36" t="s">
        <v>1399</v>
      </c>
      <c r="I88" s="35" t="s">
        <v>1400</v>
      </c>
      <c r="J88" s="36" t="s">
        <v>1399</v>
      </c>
      <c r="K88" s="35" t="s">
        <v>1400</v>
      </c>
    </row>
    <row r="89" spans="1:11" x14ac:dyDescent="0.2">
      <c r="A89" s="35" t="s">
        <v>863</v>
      </c>
      <c r="B89" s="36" t="s">
        <v>864</v>
      </c>
      <c r="C89" s="37" t="s">
        <v>1374</v>
      </c>
      <c r="D89" s="37" t="s">
        <v>1374</v>
      </c>
      <c r="E89" s="36" t="s">
        <v>866</v>
      </c>
      <c r="F89" s="36" t="s">
        <v>866</v>
      </c>
      <c r="G89" s="38">
        <v>44927</v>
      </c>
      <c r="H89" s="37" t="s">
        <v>874</v>
      </c>
      <c r="I89" s="35" t="s">
        <v>873</v>
      </c>
      <c r="J89" s="36" t="s">
        <v>1397</v>
      </c>
      <c r="K89" s="35" t="s">
        <v>1398</v>
      </c>
    </row>
    <row r="90" spans="1:11" x14ac:dyDescent="0.2">
      <c r="A90" s="35" t="s">
        <v>432</v>
      </c>
      <c r="B90" s="36" t="s">
        <v>433</v>
      </c>
      <c r="C90" s="37" t="s">
        <v>329</v>
      </c>
      <c r="D90" s="37" t="s">
        <v>268</v>
      </c>
      <c r="E90" s="36" t="s">
        <v>434</v>
      </c>
      <c r="F90" s="36" t="s">
        <v>434</v>
      </c>
      <c r="G90" s="38">
        <v>44927</v>
      </c>
      <c r="H90" s="37" t="s">
        <v>333</v>
      </c>
      <c r="I90" s="35" t="s">
        <v>332</v>
      </c>
      <c r="J90" s="36" t="s">
        <v>1403</v>
      </c>
      <c r="K90" s="35" t="s">
        <v>255</v>
      </c>
    </row>
    <row r="91" spans="1:11" x14ac:dyDescent="0.2">
      <c r="A91" s="35" t="s">
        <v>343</v>
      </c>
      <c r="B91" s="36" t="s">
        <v>344</v>
      </c>
      <c r="C91" s="37" t="s">
        <v>1355</v>
      </c>
      <c r="D91" s="37" t="s">
        <v>1305</v>
      </c>
      <c r="E91" s="36" t="s">
        <v>345</v>
      </c>
      <c r="F91" s="36" t="s">
        <v>345</v>
      </c>
      <c r="G91" s="38">
        <v>44927</v>
      </c>
      <c r="H91" s="37" t="s">
        <v>1320</v>
      </c>
      <c r="I91" s="35" t="s">
        <v>1319</v>
      </c>
      <c r="J91" s="36" t="s">
        <v>1395</v>
      </c>
      <c r="K91" s="35" t="s">
        <v>1396</v>
      </c>
    </row>
    <row r="92" spans="1:11" x14ac:dyDescent="0.2">
      <c r="A92" s="35" t="s">
        <v>1262</v>
      </c>
      <c r="B92" s="36" t="s">
        <v>1263</v>
      </c>
      <c r="C92" s="37" t="s">
        <v>1243</v>
      </c>
      <c r="D92" s="37" t="s">
        <v>1261</v>
      </c>
      <c r="E92" s="36" t="s">
        <v>1112</v>
      </c>
      <c r="F92" s="36" t="s">
        <v>1112</v>
      </c>
      <c r="G92" s="38">
        <v>44927</v>
      </c>
      <c r="H92" s="37" t="s">
        <v>1287</v>
      </c>
      <c r="I92" s="35" t="s">
        <v>1286</v>
      </c>
      <c r="J92" s="36" t="s">
        <v>1431</v>
      </c>
      <c r="K92" s="35" t="s">
        <v>1432</v>
      </c>
    </row>
    <row r="93" spans="1:11" x14ac:dyDescent="0.2">
      <c r="A93" s="35" t="s">
        <v>1375</v>
      </c>
      <c r="B93" s="36" t="s">
        <v>1376</v>
      </c>
      <c r="C93" s="37" t="s">
        <v>1374</v>
      </c>
      <c r="D93" s="37" t="s">
        <v>1374</v>
      </c>
      <c r="E93" s="36" t="s">
        <v>866</v>
      </c>
      <c r="F93" s="36" t="s">
        <v>866</v>
      </c>
      <c r="G93" s="38">
        <v>44927</v>
      </c>
      <c r="H93" s="37" t="s">
        <v>874</v>
      </c>
      <c r="I93" s="35" t="s">
        <v>873</v>
      </c>
      <c r="J93" s="36" t="s">
        <v>1397</v>
      </c>
      <c r="K93" s="35" t="s">
        <v>1398</v>
      </c>
    </row>
    <row r="94" spans="1:11" x14ac:dyDescent="0.2">
      <c r="A94" s="35" t="s">
        <v>725</v>
      </c>
      <c r="B94" s="36" t="s">
        <v>726</v>
      </c>
      <c r="C94" s="37" t="s">
        <v>719</v>
      </c>
      <c r="D94" s="37" t="s">
        <v>642</v>
      </c>
      <c r="E94" s="36" t="s">
        <v>326</v>
      </c>
      <c r="F94" s="36" t="s">
        <v>326</v>
      </c>
      <c r="G94" s="38">
        <v>44927</v>
      </c>
      <c r="H94" s="36" t="s">
        <v>672</v>
      </c>
      <c r="I94" s="35" t="s">
        <v>671</v>
      </c>
      <c r="J94" s="36" t="s">
        <v>1404</v>
      </c>
      <c r="K94" s="35" t="s">
        <v>666</v>
      </c>
    </row>
    <row r="95" spans="1:11" x14ac:dyDescent="0.2">
      <c r="A95" s="35" t="s">
        <v>494</v>
      </c>
      <c r="B95" s="36" t="s">
        <v>495</v>
      </c>
      <c r="C95" s="37" t="s">
        <v>1043</v>
      </c>
      <c r="D95" s="37" t="s">
        <v>1043</v>
      </c>
      <c r="E95" s="36" t="s">
        <v>340</v>
      </c>
      <c r="F95" s="36" t="s">
        <v>340</v>
      </c>
      <c r="G95" s="38">
        <v>44927</v>
      </c>
      <c r="H95" s="37" t="s">
        <v>1399</v>
      </c>
      <c r="I95" s="35" t="s">
        <v>1400</v>
      </c>
      <c r="J95" s="36" t="s">
        <v>1399</v>
      </c>
      <c r="K95" s="35" t="s">
        <v>1400</v>
      </c>
    </row>
    <row r="96" spans="1:11" x14ac:dyDescent="0.2">
      <c r="A96" s="35" t="s">
        <v>446</v>
      </c>
      <c r="B96" s="36" t="s">
        <v>447</v>
      </c>
      <c r="C96" s="37" t="s">
        <v>329</v>
      </c>
      <c r="D96" s="37" t="s">
        <v>268</v>
      </c>
      <c r="E96" s="36" t="s">
        <v>1490</v>
      </c>
      <c r="F96" s="36" t="s">
        <v>1490</v>
      </c>
      <c r="G96" s="38">
        <v>44927</v>
      </c>
      <c r="H96" s="37" t="s">
        <v>333</v>
      </c>
      <c r="I96" s="35" t="s">
        <v>332</v>
      </c>
      <c r="J96" s="36" t="s">
        <v>1403</v>
      </c>
      <c r="K96" s="35" t="s">
        <v>255</v>
      </c>
    </row>
    <row r="97" spans="1:11" x14ac:dyDescent="0.2">
      <c r="A97" s="35" t="s">
        <v>714</v>
      </c>
      <c r="B97" s="37" t="s">
        <v>715</v>
      </c>
      <c r="C97" s="37" t="s">
        <v>719</v>
      </c>
      <c r="D97" s="37" t="s">
        <v>661</v>
      </c>
      <c r="E97" s="36" t="s">
        <v>716</v>
      </c>
      <c r="F97" s="36" t="s">
        <v>716</v>
      </c>
      <c r="G97" s="38">
        <v>44927</v>
      </c>
      <c r="H97" s="36" t="s">
        <v>1404</v>
      </c>
      <c r="I97" s="35" t="s">
        <v>666</v>
      </c>
      <c r="J97" s="36" t="s">
        <v>1404</v>
      </c>
      <c r="K97" s="35" t="s">
        <v>666</v>
      </c>
    </row>
    <row r="98" spans="1:11" x14ac:dyDescent="0.2">
      <c r="A98" s="35" t="s">
        <v>671</v>
      </c>
      <c r="B98" s="37" t="s">
        <v>672</v>
      </c>
      <c r="C98" s="37" t="s">
        <v>719</v>
      </c>
      <c r="D98" s="37" t="s">
        <v>642</v>
      </c>
      <c r="E98" s="36" t="s">
        <v>340</v>
      </c>
      <c r="F98" s="36" t="s">
        <v>340</v>
      </c>
      <c r="G98" s="38">
        <v>44927</v>
      </c>
      <c r="H98" s="36" t="s">
        <v>1404</v>
      </c>
      <c r="I98" s="35" t="s">
        <v>666</v>
      </c>
      <c r="J98" s="36" t="s">
        <v>1404</v>
      </c>
      <c r="K98" s="35" t="s">
        <v>666</v>
      </c>
    </row>
    <row r="99" spans="1:11" x14ac:dyDescent="0.2">
      <c r="A99" s="35" t="s">
        <v>933</v>
      </c>
      <c r="B99" s="36" t="s">
        <v>934</v>
      </c>
      <c r="C99" s="37" t="s">
        <v>1374</v>
      </c>
      <c r="D99" s="37" t="s">
        <v>853</v>
      </c>
      <c r="E99" s="36" t="s">
        <v>893</v>
      </c>
      <c r="F99" s="36" t="s">
        <v>893</v>
      </c>
      <c r="G99" s="38">
        <v>44927</v>
      </c>
      <c r="H99" s="37" t="s">
        <v>923</v>
      </c>
      <c r="I99" s="35" t="s">
        <v>922</v>
      </c>
      <c r="J99" s="36" t="s">
        <v>1397</v>
      </c>
      <c r="K99" s="35" t="s">
        <v>1398</v>
      </c>
    </row>
    <row r="100" spans="1:11" x14ac:dyDescent="0.2">
      <c r="A100" s="35" t="s">
        <v>763</v>
      </c>
      <c r="B100" s="36" t="s">
        <v>764</v>
      </c>
      <c r="C100" s="37" t="s">
        <v>765</v>
      </c>
      <c r="D100" s="37" t="s">
        <v>765</v>
      </c>
      <c r="E100" s="36" t="s">
        <v>514</v>
      </c>
      <c r="F100" s="36" t="s">
        <v>514</v>
      </c>
      <c r="G100" s="38">
        <v>44927</v>
      </c>
      <c r="H100" s="40" t="s">
        <v>543</v>
      </c>
      <c r="I100" s="40" t="s">
        <v>542</v>
      </c>
      <c r="J100" s="40" t="s">
        <v>543</v>
      </c>
      <c r="K100" s="40" t="s">
        <v>542</v>
      </c>
    </row>
    <row r="101" spans="1:11" x14ac:dyDescent="0.2">
      <c r="A101" s="35" t="s">
        <v>419</v>
      </c>
      <c r="B101" s="36" t="s">
        <v>420</v>
      </c>
      <c r="C101" s="37" t="s">
        <v>329</v>
      </c>
      <c r="D101" s="37" t="s">
        <v>268</v>
      </c>
      <c r="E101" s="36" t="s">
        <v>320</v>
      </c>
      <c r="F101" s="36" t="s">
        <v>320</v>
      </c>
      <c r="G101" s="38">
        <v>44927</v>
      </c>
      <c r="H101" s="37" t="s">
        <v>333</v>
      </c>
      <c r="I101" s="35" t="s">
        <v>332</v>
      </c>
      <c r="J101" s="36" t="s">
        <v>1403</v>
      </c>
      <c r="K101" s="35" t="s">
        <v>255</v>
      </c>
    </row>
    <row r="102" spans="1:11" x14ac:dyDescent="0.2">
      <c r="A102" s="35" t="s">
        <v>437</v>
      </c>
      <c r="B102" s="36" t="s">
        <v>438</v>
      </c>
      <c r="C102" s="37" t="s">
        <v>329</v>
      </c>
      <c r="D102" s="37" t="s">
        <v>268</v>
      </c>
      <c r="E102" s="36" t="s">
        <v>244</v>
      </c>
      <c r="F102" s="36" t="s">
        <v>244</v>
      </c>
      <c r="G102" s="38">
        <v>44927</v>
      </c>
      <c r="H102" s="37" t="s">
        <v>333</v>
      </c>
      <c r="I102" s="35" t="s">
        <v>332</v>
      </c>
      <c r="J102" s="36" t="s">
        <v>1403</v>
      </c>
      <c r="K102" s="35" t="s">
        <v>255</v>
      </c>
    </row>
    <row r="103" spans="1:11" x14ac:dyDescent="0.2">
      <c r="A103" s="35" t="s">
        <v>842</v>
      </c>
      <c r="B103" s="36" t="s">
        <v>843</v>
      </c>
      <c r="C103" s="37" t="s">
        <v>765</v>
      </c>
      <c r="D103" s="37" t="s">
        <v>733</v>
      </c>
      <c r="E103" s="36" t="s">
        <v>269</v>
      </c>
      <c r="F103" s="36" t="s">
        <v>802</v>
      </c>
      <c r="G103" s="38">
        <v>44927</v>
      </c>
      <c r="H103" s="40" t="s">
        <v>543</v>
      </c>
      <c r="I103" s="40" t="s">
        <v>542</v>
      </c>
      <c r="J103" s="40" t="s">
        <v>543</v>
      </c>
      <c r="K103" s="40" t="s">
        <v>542</v>
      </c>
    </row>
    <row r="104" spans="1:11" x14ac:dyDescent="0.2">
      <c r="A104" s="35" t="s">
        <v>542</v>
      </c>
      <c r="B104" s="37" t="s">
        <v>543</v>
      </c>
      <c r="C104" s="37" t="s">
        <v>765</v>
      </c>
      <c r="D104" s="37" t="s">
        <v>765</v>
      </c>
      <c r="E104" s="36" t="s">
        <v>544</v>
      </c>
      <c r="F104" s="36" t="s">
        <v>544</v>
      </c>
      <c r="G104" s="38">
        <v>44927</v>
      </c>
      <c r="H104" s="40" t="s">
        <v>543</v>
      </c>
      <c r="I104" s="40" t="s">
        <v>542</v>
      </c>
      <c r="J104" s="40" t="s">
        <v>543</v>
      </c>
      <c r="K104" s="40" t="s">
        <v>542</v>
      </c>
    </row>
    <row r="105" spans="1:11" x14ac:dyDescent="0.2">
      <c r="A105" s="35" t="s">
        <v>791</v>
      </c>
      <c r="B105" s="36" t="s">
        <v>792</v>
      </c>
      <c r="C105" s="37" t="s">
        <v>765</v>
      </c>
      <c r="D105" s="37" t="s">
        <v>733</v>
      </c>
      <c r="E105" s="36" t="s">
        <v>269</v>
      </c>
      <c r="F105" s="36" t="s">
        <v>769</v>
      </c>
      <c r="G105" s="38">
        <v>44929</v>
      </c>
      <c r="H105" s="40" t="s">
        <v>543</v>
      </c>
      <c r="I105" s="40" t="s">
        <v>542</v>
      </c>
      <c r="J105" s="40" t="s">
        <v>543</v>
      </c>
      <c r="K105" s="40" t="s">
        <v>542</v>
      </c>
    </row>
    <row r="106" spans="1:11" x14ac:dyDescent="0.2">
      <c r="A106" s="35" t="s">
        <v>1348</v>
      </c>
      <c r="B106" s="36" t="s">
        <v>1349</v>
      </c>
      <c r="C106" s="37" t="s">
        <v>1374</v>
      </c>
      <c r="D106" s="37" t="s">
        <v>858</v>
      </c>
      <c r="E106" s="36" t="s">
        <v>323</v>
      </c>
      <c r="F106" s="36" t="s">
        <v>323</v>
      </c>
      <c r="G106" s="38">
        <v>44927</v>
      </c>
      <c r="H106" s="37" t="s">
        <v>874</v>
      </c>
      <c r="I106" s="35" t="s">
        <v>873</v>
      </c>
      <c r="J106" s="36" t="s">
        <v>1397</v>
      </c>
      <c r="K106" s="35" t="s">
        <v>1398</v>
      </c>
    </row>
    <row r="107" spans="1:11" x14ac:dyDescent="0.2">
      <c r="A107" s="35" t="s">
        <v>1294</v>
      </c>
      <c r="B107" s="36" t="s">
        <v>1295</v>
      </c>
      <c r="C107" s="37" t="s">
        <v>1243</v>
      </c>
      <c r="D107" s="37" t="s">
        <v>1261</v>
      </c>
      <c r="E107" s="36" t="s">
        <v>598</v>
      </c>
      <c r="F107" s="36" t="s">
        <v>598</v>
      </c>
      <c r="G107" s="38">
        <v>44927</v>
      </c>
      <c r="H107" s="37" t="s">
        <v>1287</v>
      </c>
      <c r="I107" s="35" t="s">
        <v>1286</v>
      </c>
      <c r="J107" s="36" t="s">
        <v>1431</v>
      </c>
      <c r="K107" s="35" t="s">
        <v>1432</v>
      </c>
    </row>
    <row r="108" spans="1:11" x14ac:dyDescent="0.2">
      <c r="A108" s="35" t="s">
        <v>1356</v>
      </c>
      <c r="B108" s="36" t="s">
        <v>1357</v>
      </c>
      <c r="C108" s="37" t="s">
        <v>1355</v>
      </c>
      <c r="D108" s="37" t="s">
        <v>1355</v>
      </c>
      <c r="E108" s="36" t="s">
        <v>369</v>
      </c>
      <c r="F108" s="36" t="s">
        <v>369</v>
      </c>
      <c r="G108" s="38">
        <v>44927</v>
      </c>
      <c r="H108" s="37" t="s">
        <v>1395</v>
      </c>
      <c r="I108" s="35" t="s">
        <v>1396</v>
      </c>
      <c r="J108" s="36" t="s">
        <v>1395</v>
      </c>
      <c r="K108" s="35" t="s">
        <v>1396</v>
      </c>
    </row>
    <row r="109" spans="1:11" x14ac:dyDescent="0.2">
      <c r="A109" s="35" t="s">
        <v>299</v>
      </c>
      <c r="B109" s="36" t="s">
        <v>300</v>
      </c>
      <c r="C109" s="37" t="s">
        <v>329</v>
      </c>
      <c r="D109" s="37" t="s">
        <v>268</v>
      </c>
      <c r="E109" s="36" t="s">
        <v>301</v>
      </c>
      <c r="F109" s="36" t="s">
        <v>320</v>
      </c>
      <c r="G109" s="38">
        <v>44927</v>
      </c>
      <c r="H109" s="37" t="s">
        <v>333</v>
      </c>
      <c r="I109" s="35" t="s">
        <v>332</v>
      </c>
      <c r="J109" s="36" t="s">
        <v>1403</v>
      </c>
      <c r="K109" s="35" t="s">
        <v>255</v>
      </c>
    </row>
    <row r="110" spans="1:11" x14ac:dyDescent="0.2">
      <c r="A110" s="35" t="s">
        <v>894</v>
      </c>
      <c r="B110" s="37" t="s">
        <v>895</v>
      </c>
      <c r="C110" s="37" t="s">
        <v>1374</v>
      </c>
      <c r="D110" s="37" t="s">
        <v>892</v>
      </c>
      <c r="E110" s="36" t="s">
        <v>227</v>
      </c>
      <c r="F110" s="36" t="s">
        <v>227</v>
      </c>
      <c r="G110" s="38">
        <v>44927</v>
      </c>
      <c r="H110" s="36" t="s">
        <v>1397</v>
      </c>
      <c r="I110" s="35" t="s">
        <v>1398</v>
      </c>
      <c r="J110" s="36" t="s">
        <v>1397</v>
      </c>
      <c r="K110" s="35" t="s">
        <v>1398</v>
      </c>
    </row>
    <row r="111" spans="1:11" x14ac:dyDescent="0.2">
      <c r="A111" s="35" t="s">
        <v>512</v>
      </c>
      <c r="B111" s="36" t="s">
        <v>513</v>
      </c>
      <c r="C111" s="37" t="s">
        <v>1374</v>
      </c>
      <c r="D111" s="37" t="s">
        <v>892</v>
      </c>
      <c r="E111" s="36" t="s">
        <v>514</v>
      </c>
      <c r="F111" s="36" t="s">
        <v>514</v>
      </c>
      <c r="G111" s="38">
        <v>44927</v>
      </c>
      <c r="H111" s="37" t="s">
        <v>895</v>
      </c>
      <c r="I111" s="35" t="s">
        <v>894</v>
      </c>
      <c r="J111" s="36" t="s">
        <v>1397</v>
      </c>
      <c r="K111" s="35" t="s">
        <v>1398</v>
      </c>
    </row>
    <row r="112" spans="1:11" x14ac:dyDescent="0.2">
      <c r="A112" s="35" t="s">
        <v>900</v>
      </c>
      <c r="B112" s="36" t="s">
        <v>901</v>
      </c>
      <c r="C112" s="37" t="s">
        <v>1374</v>
      </c>
      <c r="D112" s="37" t="s">
        <v>853</v>
      </c>
      <c r="E112" s="36" t="s">
        <v>902</v>
      </c>
      <c r="F112" s="36" t="s">
        <v>902</v>
      </c>
      <c r="G112" s="38">
        <v>44927</v>
      </c>
      <c r="H112" s="37" t="s">
        <v>923</v>
      </c>
      <c r="I112" s="35" t="s">
        <v>922</v>
      </c>
      <c r="J112" s="36" t="s">
        <v>1397</v>
      </c>
      <c r="K112" s="35" t="s">
        <v>1398</v>
      </c>
    </row>
    <row r="113" spans="1:11" x14ac:dyDescent="0.2">
      <c r="A113" s="35" t="s">
        <v>293</v>
      </c>
      <c r="B113" s="36" t="s">
        <v>294</v>
      </c>
      <c r="C113" s="37" t="s">
        <v>329</v>
      </c>
      <c r="D113" s="37" t="s">
        <v>268</v>
      </c>
      <c r="E113" s="36" t="s">
        <v>295</v>
      </c>
      <c r="F113" s="36" t="s">
        <v>295</v>
      </c>
      <c r="G113" s="38">
        <v>44927</v>
      </c>
      <c r="H113" s="37" t="s">
        <v>333</v>
      </c>
      <c r="I113" s="35" t="s">
        <v>332</v>
      </c>
      <c r="J113" s="36" t="s">
        <v>1403</v>
      </c>
      <c r="K113" s="35" t="s">
        <v>255</v>
      </c>
    </row>
    <row r="114" spans="1:11" x14ac:dyDescent="0.2">
      <c r="A114" s="35" t="s">
        <v>963</v>
      </c>
      <c r="B114" s="36" t="s">
        <v>964</v>
      </c>
      <c r="C114" s="37" t="s">
        <v>1374</v>
      </c>
      <c r="D114" s="37" t="s">
        <v>853</v>
      </c>
      <c r="E114" s="36" t="s">
        <v>893</v>
      </c>
      <c r="F114" s="36" t="s">
        <v>893</v>
      </c>
      <c r="G114" s="38">
        <v>44927</v>
      </c>
      <c r="H114" s="37" t="s">
        <v>923</v>
      </c>
      <c r="I114" s="35" t="s">
        <v>922</v>
      </c>
      <c r="J114" s="36" t="s">
        <v>1397</v>
      </c>
      <c r="K114" s="35" t="s">
        <v>1398</v>
      </c>
    </row>
    <row r="115" spans="1:11" x14ac:dyDescent="0.2">
      <c r="A115" s="35" t="s">
        <v>819</v>
      </c>
      <c r="B115" s="36" t="s">
        <v>820</v>
      </c>
      <c r="C115" s="37" t="s">
        <v>719</v>
      </c>
      <c r="D115" s="37" t="s">
        <v>661</v>
      </c>
      <c r="E115" s="36" t="s">
        <v>323</v>
      </c>
      <c r="F115" s="36" t="s">
        <v>323</v>
      </c>
      <c r="G115" s="38">
        <v>44927</v>
      </c>
      <c r="H115" s="36" t="s">
        <v>715</v>
      </c>
      <c r="I115" s="35" t="s">
        <v>714</v>
      </c>
      <c r="J115" s="36" t="s">
        <v>1404</v>
      </c>
      <c r="K115" s="35" t="s">
        <v>666</v>
      </c>
    </row>
    <row r="116" spans="1:11" x14ac:dyDescent="0.2">
      <c r="A116" s="35" t="s">
        <v>1118</v>
      </c>
      <c r="B116" s="36" t="s">
        <v>1119</v>
      </c>
      <c r="C116" s="37" t="s">
        <v>1043</v>
      </c>
      <c r="D116" s="37" t="s">
        <v>1040</v>
      </c>
      <c r="E116" s="36" t="s">
        <v>326</v>
      </c>
      <c r="F116" s="36" t="s">
        <v>326</v>
      </c>
      <c r="G116" s="38">
        <v>44927</v>
      </c>
      <c r="H116" s="37" t="s">
        <v>1255</v>
      </c>
      <c r="I116" s="35" t="s">
        <v>1254</v>
      </c>
      <c r="J116" s="36" t="s">
        <v>1399</v>
      </c>
      <c r="K116" s="35" t="s">
        <v>1400</v>
      </c>
    </row>
    <row r="117" spans="1:11" ht="51" x14ac:dyDescent="0.2">
      <c r="A117" s="35" t="s">
        <v>392</v>
      </c>
      <c r="B117" s="36" t="s">
        <v>393</v>
      </c>
      <c r="C117" s="37" t="s">
        <v>329</v>
      </c>
      <c r="D117" s="39" t="s">
        <v>1414</v>
      </c>
      <c r="E117" s="36" t="s">
        <v>394</v>
      </c>
      <c r="F117" s="36" t="s">
        <v>395</v>
      </c>
      <c r="G117" s="38">
        <v>44927</v>
      </c>
      <c r="H117" s="37" t="s">
        <v>1415</v>
      </c>
      <c r="I117" s="35" t="s">
        <v>1416</v>
      </c>
      <c r="J117" s="36" t="s">
        <v>1403</v>
      </c>
      <c r="K117" s="35" t="s">
        <v>255</v>
      </c>
    </row>
    <row r="118" spans="1:11" x14ac:dyDescent="0.2">
      <c r="A118" s="35" t="s">
        <v>1035</v>
      </c>
      <c r="B118" s="37" t="s">
        <v>1036</v>
      </c>
      <c r="C118" s="37" t="s">
        <v>488</v>
      </c>
      <c r="D118" s="37" t="s">
        <v>482</v>
      </c>
      <c r="E118" s="36" t="s">
        <v>866</v>
      </c>
      <c r="F118" s="36" t="s">
        <v>866</v>
      </c>
      <c r="G118" s="38">
        <v>44927</v>
      </c>
      <c r="H118" s="36" t="s">
        <v>1390</v>
      </c>
      <c r="I118" s="35" t="s">
        <v>1391</v>
      </c>
      <c r="J118" s="36" t="s">
        <v>1390</v>
      </c>
      <c r="K118" s="35" t="s">
        <v>1391</v>
      </c>
    </row>
    <row r="119" spans="1:11" x14ac:dyDescent="0.2">
      <c r="A119" s="35" t="s">
        <v>971</v>
      </c>
      <c r="B119" s="36" t="s">
        <v>972</v>
      </c>
      <c r="C119" s="37" t="s">
        <v>1374</v>
      </c>
      <c r="D119" s="37" t="s">
        <v>871</v>
      </c>
      <c r="E119" s="36" t="s">
        <v>973</v>
      </c>
      <c r="F119" s="36" t="s">
        <v>973</v>
      </c>
      <c r="G119" s="38">
        <v>44927</v>
      </c>
      <c r="H119" s="37" t="s">
        <v>955</v>
      </c>
      <c r="I119" s="35" t="s">
        <v>954</v>
      </c>
      <c r="J119" s="36" t="s">
        <v>1397</v>
      </c>
      <c r="K119" s="35" t="s">
        <v>1398</v>
      </c>
    </row>
    <row r="120" spans="1:11" x14ac:dyDescent="0.2">
      <c r="A120" s="35" t="s">
        <v>531</v>
      </c>
      <c r="B120" s="36" t="s">
        <v>532</v>
      </c>
      <c r="C120" s="37" t="s">
        <v>547</v>
      </c>
      <c r="D120" s="37" t="s">
        <v>529</v>
      </c>
      <c r="E120" s="36" t="s">
        <v>520</v>
      </c>
      <c r="F120" s="36" t="s">
        <v>520</v>
      </c>
      <c r="G120" s="38">
        <v>44927</v>
      </c>
      <c r="H120" s="37" t="s">
        <v>824</v>
      </c>
      <c r="I120" s="35" t="s">
        <v>823</v>
      </c>
      <c r="J120" s="36" t="s">
        <v>1446</v>
      </c>
      <c r="K120" s="35" t="s">
        <v>1447</v>
      </c>
    </row>
    <row r="121" spans="1:11" x14ac:dyDescent="0.2">
      <c r="A121" s="35" t="s">
        <v>746</v>
      </c>
      <c r="B121" s="36" t="s">
        <v>747</v>
      </c>
      <c r="C121" s="37" t="s">
        <v>765</v>
      </c>
      <c r="D121" s="37" t="s">
        <v>739</v>
      </c>
      <c r="E121" s="36" t="s">
        <v>489</v>
      </c>
      <c r="F121" s="36" t="s">
        <v>748</v>
      </c>
      <c r="G121" s="38">
        <v>44929</v>
      </c>
      <c r="H121" s="40" t="s">
        <v>543</v>
      </c>
      <c r="I121" s="40" t="s">
        <v>542</v>
      </c>
      <c r="J121" s="40" t="s">
        <v>543</v>
      </c>
      <c r="K121" s="40" t="s">
        <v>542</v>
      </c>
    </row>
    <row r="122" spans="1:11" x14ac:dyDescent="0.2">
      <c r="A122" s="35" t="s">
        <v>1491</v>
      </c>
      <c r="B122" s="36" t="s">
        <v>1492</v>
      </c>
      <c r="C122" s="37" t="s">
        <v>329</v>
      </c>
      <c r="D122" s="37" t="s">
        <v>268</v>
      </c>
      <c r="E122" s="36" t="s">
        <v>301</v>
      </c>
      <c r="F122" s="36" t="s">
        <v>416</v>
      </c>
      <c r="G122" s="38">
        <v>44927</v>
      </c>
      <c r="H122" s="37" t="s">
        <v>333</v>
      </c>
      <c r="I122" s="35" t="s">
        <v>332</v>
      </c>
      <c r="J122" s="36" t="s">
        <v>1403</v>
      </c>
      <c r="K122" s="35" t="s">
        <v>255</v>
      </c>
    </row>
    <row r="123" spans="1:11" ht="51" x14ac:dyDescent="0.2">
      <c r="A123" s="35" t="s">
        <v>1493</v>
      </c>
      <c r="B123" s="36" t="s">
        <v>1494</v>
      </c>
      <c r="C123" s="37" t="s">
        <v>329</v>
      </c>
      <c r="D123" s="39" t="s">
        <v>1414</v>
      </c>
      <c r="E123" s="36" t="s">
        <v>301</v>
      </c>
      <c r="F123" s="36" t="s">
        <v>302</v>
      </c>
      <c r="G123" s="38">
        <v>44927</v>
      </c>
      <c r="H123" s="37" t="s">
        <v>1415</v>
      </c>
      <c r="I123" s="35" t="s">
        <v>1416</v>
      </c>
      <c r="J123" s="36" t="s">
        <v>1403</v>
      </c>
      <c r="K123" s="35" t="s">
        <v>255</v>
      </c>
    </row>
    <row r="124" spans="1:11" x14ac:dyDescent="0.2">
      <c r="A124" s="35" t="s">
        <v>1201</v>
      </c>
      <c r="B124" s="37" t="s">
        <v>1202</v>
      </c>
      <c r="C124" s="37" t="s">
        <v>1424</v>
      </c>
      <c r="D124" s="37" t="s">
        <v>1145</v>
      </c>
      <c r="E124" s="36" t="s">
        <v>233</v>
      </c>
      <c r="F124" s="36" t="s">
        <v>1169</v>
      </c>
      <c r="G124" s="38">
        <v>44927</v>
      </c>
      <c r="H124" s="36" t="s">
        <v>1425</v>
      </c>
      <c r="I124" s="35" t="s">
        <v>1426</v>
      </c>
      <c r="J124" s="36" t="s">
        <v>1425</v>
      </c>
      <c r="K124" s="35" t="s">
        <v>1426</v>
      </c>
    </row>
    <row r="125" spans="1:11" x14ac:dyDescent="0.2">
      <c r="A125" s="35" t="s">
        <v>1495</v>
      </c>
      <c r="B125" s="36" t="s">
        <v>1496</v>
      </c>
      <c r="C125" s="37" t="s">
        <v>1043</v>
      </c>
      <c r="D125" s="37" t="s">
        <v>1037</v>
      </c>
      <c r="E125" s="36" t="s">
        <v>220</v>
      </c>
      <c r="F125" s="36" t="s">
        <v>1101</v>
      </c>
      <c r="G125" s="38">
        <v>44927</v>
      </c>
      <c r="H125" s="37" t="s">
        <v>1100</v>
      </c>
      <c r="I125" s="35" t="s">
        <v>1099</v>
      </c>
      <c r="J125" s="36" t="s">
        <v>1399</v>
      </c>
      <c r="K125" s="35" t="s">
        <v>1400</v>
      </c>
    </row>
    <row r="126" spans="1:11" ht="51" x14ac:dyDescent="0.2">
      <c r="A126" s="35" t="s">
        <v>1416</v>
      </c>
      <c r="B126" s="37" t="s">
        <v>1415</v>
      </c>
      <c r="C126" s="37" t="s">
        <v>329</v>
      </c>
      <c r="D126" s="39" t="s">
        <v>1414</v>
      </c>
      <c r="E126" s="36" t="s">
        <v>279</v>
      </c>
      <c r="F126" s="36" t="s">
        <v>385</v>
      </c>
      <c r="G126" s="38">
        <v>44927</v>
      </c>
      <c r="H126" s="36" t="s">
        <v>1403</v>
      </c>
      <c r="I126" s="35" t="s">
        <v>255</v>
      </c>
      <c r="J126" s="36" t="s">
        <v>1403</v>
      </c>
      <c r="K126" s="35" t="s">
        <v>255</v>
      </c>
    </row>
    <row r="127" spans="1:11" x14ac:dyDescent="0.2">
      <c r="A127" s="35" t="s">
        <v>1232</v>
      </c>
      <c r="B127" s="37" t="s">
        <v>1233</v>
      </c>
      <c r="C127" s="37" t="s">
        <v>1243</v>
      </c>
      <c r="D127" s="37" t="s">
        <v>1234</v>
      </c>
      <c r="E127" s="36" t="s">
        <v>220</v>
      </c>
      <c r="F127" s="36" t="s">
        <v>1235</v>
      </c>
      <c r="G127" s="38">
        <v>44927</v>
      </c>
      <c r="H127" s="36" t="s">
        <v>1431</v>
      </c>
      <c r="I127" s="35" t="s">
        <v>1432</v>
      </c>
      <c r="J127" s="36" t="s">
        <v>1431</v>
      </c>
      <c r="K127" s="35" t="s">
        <v>1432</v>
      </c>
    </row>
    <row r="128" spans="1:11" x14ac:dyDescent="0.2">
      <c r="A128" s="35" t="s">
        <v>1077</v>
      </c>
      <c r="B128" s="36" t="s">
        <v>1078</v>
      </c>
      <c r="C128" s="37" t="s">
        <v>1043</v>
      </c>
      <c r="D128" s="37" t="s">
        <v>1040</v>
      </c>
      <c r="E128" s="36" t="s">
        <v>479</v>
      </c>
      <c r="F128" s="36" t="s">
        <v>479</v>
      </c>
      <c r="G128" s="38">
        <v>44927</v>
      </c>
      <c r="H128" s="37" t="s">
        <v>1255</v>
      </c>
      <c r="I128" s="35" t="s">
        <v>1254</v>
      </c>
      <c r="J128" s="36" t="s">
        <v>1399</v>
      </c>
      <c r="K128" s="35" t="s">
        <v>1400</v>
      </c>
    </row>
    <row r="129" spans="1:11" x14ac:dyDescent="0.2">
      <c r="A129" s="35" t="s">
        <v>1497</v>
      </c>
      <c r="B129" s="36" t="s">
        <v>1498</v>
      </c>
      <c r="C129" s="37" t="s">
        <v>1243</v>
      </c>
      <c r="D129" s="37" t="s">
        <v>1248</v>
      </c>
      <c r="E129" s="36" t="s">
        <v>220</v>
      </c>
      <c r="F129" s="36" t="s">
        <v>1499</v>
      </c>
      <c r="G129" s="38">
        <v>44927</v>
      </c>
      <c r="H129" s="37" t="s">
        <v>1290</v>
      </c>
      <c r="I129" s="35" t="s">
        <v>1289</v>
      </c>
      <c r="J129" s="36" t="s">
        <v>1431</v>
      </c>
      <c r="K129" s="35" t="s">
        <v>1432</v>
      </c>
    </row>
    <row r="130" spans="1:11" x14ac:dyDescent="0.2">
      <c r="A130" s="35" t="s">
        <v>668</v>
      </c>
      <c r="B130" s="36" t="s">
        <v>669</v>
      </c>
      <c r="C130" s="37" t="s">
        <v>719</v>
      </c>
      <c r="D130" s="37" t="s">
        <v>661</v>
      </c>
      <c r="E130" s="36" t="s">
        <v>220</v>
      </c>
      <c r="F130" s="36" t="s">
        <v>670</v>
      </c>
      <c r="G130" s="38">
        <v>44927</v>
      </c>
      <c r="H130" s="36" t="s">
        <v>715</v>
      </c>
      <c r="I130" s="35" t="s">
        <v>714</v>
      </c>
      <c r="J130" s="36" t="s">
        <v>1404</v>
      </c>
      <c r="K130" s="35" t="s">
        <v>666</v>
      </c>
    </row>
    <row r="131" spans="1:11" x14ac:dyDescent="0.2">
      <c r="A131" s="35" t="s">
        <v>744</v>
      </c>
      <c r="B131" s="36" t="s">
        <v>745</v>
      </c>
      <c r="C131" s="37" t="s">
        <v>765</v>
      </c>
      <c r="D131" s="37" t="s">
        <v>739</v>
      </c>
      <c r="E131" s="36" t="s">
        <v>394</v>
      </c>
      <c r="F131" s="36" t="s">
        <v>1406</v>
      </c>
      <c r="G131" s="38">
        <v>44927</v>
      </c>
      <c r="H131" s="40" t="s">
        <v>543</v>
      </c>
      <c r="I131" s="40" t="s">
        <v>542</v>
      </c>
      <c r="J131" s="40" t="s">
        <v>543</v>
      </c>
      <c r="K131" s="40" t="s">
        <v>542</v>
      </c>
    </row>
    <row r="132" spans="1:11" x14ac:dyDescent="0.2">
      <c r="A132" s="35" t="s">
        <v>1244</v>
      </c>
      <c r="B132" s="36" t="s">
        <v>1245</v>
      </c>
      <c r="C132" s="37" t="s">
        <v>1243</v>
      </c>
      <c r="D132" s="37" t="s">
        <v>1234</v>
      </c>
      <c r="E132" s="36" t="s">
        <v>264</v>
      </c>
      <c r="F132" s="36" t="s">
        <v>265</v>
      </c>
      <c r="G132" s="38">
        <v>44929</v>
      </c>
      <c r="H132" s="37" t="s">
        <v>1233</v>
      </c>
      <c r="I132" s="35" t="s">
        <v>1232</v>
      </c>
      <c r="J132" s="36" t="s">
        <v>1431</v>
      </c>
      <c r="K132" s="35" t="s">
        <v>1432</v>
      </c>
    </row>
    <row r="133" spans="1:11" x14ac:dyDescent="0.2">
      <c r="A133" s="35">
        <v>1713165452</v>
      </c>
      <c r="B133" s="36" t="s">
        <v>1500</v>
      </c>
      <c r="C133" s="37" t="s">
        <v>1374</v>
      </c>
      <c r="D133" s="37" t="s">
        <v>892</v>
      </c>
      <c r="E133" s="36" t="s">
        <v>264</v>
      </c>
      <c r="F133" s="36" t="s">
        <v>265</v>
      </c>
      <c r="G133" s="38">
        <v>44927</v>
      </c>
      <c r="H133" s="37" t="s">
        <v>895</v>
      </c>
      <c r="I133" s="35" t="s">
        <v>894</v>
      </c>
      <c r="J133" s="36" t="s">
        <v>1397</v>
      </c>
      <c r="K133" s="35" t="s">
        <v>1398</v>
      </c>
    </row>
    <row r="134" spans="1:11" x14ac:dyDescent="0.2">
      <c r="A134" s="35">
        <v>1713280913</v>
      </c>
      <c r="B134" s="36" t="s">
        <v>1501</v>
      </c>
      <c r="C134" s="37" t="s">
        <v>1043</v>
      </c>
      <c r="D134" s="37" t="s">
        <v>1031</v>
      </c>
      <c r="E134" s="36" t="s">
        <v>220</v>
      </c>
      <c r="F134" s="36" t="s">
        <v>1488</v>
      </c>
      <c r="G134" s="38">
        <v>44929</v>
      </c>
      <c r="H134" s="37" t="s">
        <v>1442</v>
      </c>
      <c r="I134" s="35" t="s">
        <v>1441</v>
      </c>
      <c r="J134" s="36" t="s">
        <v>1399</v>
      </c>
      <c r="K134" s="35" t="s">
        <v>1400</v>
      </c>
    </row>
    <row r="135" spans="1:11" x14ac:dyDescent="0.2">
      <c r="A135" s="35" t="s">
        <v>654</v>
      </c>
      <c r="B135" s="36" t="s">
        <v>655</v>
      </c>
      <c r="C135" s="37" t="s">
        <v>719</v>
      </c>
      <c r="D135" s="37" t="s">
        <v>683</v>
      </c>
      <c r="E135" s="36" t="s">
        <v>260</v>
      </c>
      <c r="F135" s="36" t="s">
        <v>1502</v>
      </c>
      <c r="G135" s="38">
        <v>44927</v>
      </c>
      <c r="H135" s="36" t="s">
        <v>682</v>
      </c>
      <c r="I135" s="36" t="s">
        <v>681</v>
      </c>
      <c r="J135" s="36" t="s">
        <v>1404</v>
      </c>
      <c r="K135" s="35" t="s">
        <v>666</v>
      </c>
    </row>
    <row r="136" spans="1:11" x14ac:dyDescent="0.2">
      <c r="A136" s="35">
        <v>1713587226</v>
      </c>
      <c r="B136" s="36" t="s">
        <v>1503</v>
      </c>
      <c r="C136" s="37" t="s">
        <v>1043</v>
      </c>
      <c r="D136" s="37" t="s">
        <v>1043</v>
      </c>
      <c r="E136" s="36" t="s">
        <v>394</v>
      </c>
      <c r="F136" s="36" t="s">
        <v>1406</v>
      </c>
      <c r="G136" s="38">
        <v>44986</v>
      </c>
      <c r="H136" s="37" t="s">
        <v>1399</v>
      </c>
      <c r="I136" s="35" t="s">
        <v>1400</v>
      </c>
      <c r="J136" s="36" t="s">
        <v>1399</v>
      </c>
      <c r="K136" s="35" t="s">
        <v>1426</v>
      </c>
    </row>
    <row r="137" spans="1:11" x14ac:dyDescent="0.2">
      <c r="A137" s="35" t="s">
        <v>800</v>
      </c>
      <c r="B137" s="36" t="s">
        <v>801</v>
      </c>
      <c r="C137" s="37" t="s">
        <v>765</v>
      </c>
      <c r="D137" s="37" t="s">
        <v>739</v>
      </c>
      <c r="E137" s="36" t="s">
        <v>269</v>
      </c>
      <c r="F137" s="36" t="s">
        <v>802</v>
      </c>
      <c r="G137" s="38">
        <v>44927</v>
      </c>
      <c r="H137" s="40" t="s">
        <v>543</v>
      </c>
      <c r="I137" s="40" t="s">
        <v>542</v>
      </c>
      <c r="J137" s="40" t="s">
        <v>543</v>
      </c>
      <c r="K137" s="40" t="s">
        <v>542</v>
      </c>
    </row>
    <row r="138" spans="1:11" ht="51" x14ac:dyDescent="0.2">
      <c r="A138" s="35" t="s">
        <v>1504</v>
      </c>
      <c r="B138" s="36" t="s">
        <v>1505</v>
      </c>
      <c r="C138" s="37" t="s">
        <v>329</v>
      </c>
      <c r="D138" s="39" t="s">
        <v>1414</v>
      </c>
      <c r="E138" s="36" t="s">
        <v>394</v>
      </c>
      <c r="F138" s="36" t="s">
        <v>1406</v>
      </c>
      <c r="G138" s="38">
        <v>44927</v>
      </c>
      <c r="H138" s="37" t="s">
        <v>1415</v>
      </c>
      <c r="I138" s="35" t="s">
        <v>1416</v>
      </c>
      <c r="J138" s="36" t="s">
        <v>1403</v>
      </c>
      <c r="K138" s="35" t="s">
        <v>255</v>
      </c>
    </row>
    <row r="139" spans="1:11" x14ac:dyDescent="0.2">
      <c r="A139" s="35" t="s">
        <v>1400</v>
      </c>
      <c r="B139" s="37" t="s">
        <v>1399</v>
      </c>
      <c r="C139" s="37" t="s">
        <v>1043</v>
      </c>
      <c r="D139" s="37" t="s">
        <v>1043</v>
      </c>
      <c r="E139" s="36" t="s">
        <v>1506</v>
      </c>
      <c r="F139" s="36" t="s">
        <v>1506</v>
      </c>
      <c r="G139" s="38">
        <v>45061</v>
      </c>
      <c r="H139" s="37" t="s">
        <v>1399</v>
      </c>
      <c r="I139" s="35" t="s">
        <v>1400</v>
      </c>
      <c r="J139" s="36" t="s">
        <v>1399</v>
      </c>
      <c r="K139" s="35" t="s">
        <v>1400</v>
      </c>
    </row>
    <row r="140" spans="1:11" x14ac:dyDescent="0.2">
      <c r="A140" s="35" t="s">
        <v>710</v>
      </c>
      <c r="B140" s="37" t="s">
        <v>1407</v>
      </c>
      <c r="C140" s="37" t="s">
        <v>719</v>
      </c>
      <c r="D140" s="37" t="s">
        <v>652</v>
      </c>
      <c r="E140" s="36" t="s">
        <v>220</v>
      </c>
      <c r="F140" s="36" t="s">
        <v>653</v>
      </c>
      <c r="G140" s="38">
        <v>44927</v>
      </c>
      <c r="H140" s="36" t="s">
        <v>1404</v>
      </c>
      <c r="I140" s="35" t="s">
        <v>666</v>
      </c>
      <c r="J140" s="36" t="s">
        <v>1404</v>
      </c>
      <c r="K140" s="35" t="s">
        <v>666</v>
      </c>
    </row>
    <row r="141" spans="1:11" x14ac:dyDescent="0.2">
      <c r="A141" s="35" t="s">
        <v>1276</v>
      </c>
      <c r="B141" s="37" t="s">
        <v>1277</v>
      </c>
      <c r="C141" s="37" t="s">
        <v>1243</v>
      </c>
      <c r="D141" s="37" t="s">
        <v>1225</v>
      </c>
      <c r="E141" s="36" t="s">
        <v>220</v>
      </c>
      <c r="F141" s="36" t="s">
        <v>1278</v>
      </c>
      <c r="G141" s="38">
        <v>44927</v>
      </c>
      <c r="H141" s="36" t="s">
        <v>1431</v>
      </c>
      <c r="I141" s="35" t="s">
        <v>1432</v>
      </c>
      <c r="J141" s="36" t="s">
        <v>1431</v>
      </c>
      <c r="K141" s="35" t="s">
        <v>1432</v>
      </c>
    </row>
    <row r="142" spans="1:11" x14ac:dyDescent="0.2">
      <c r="A142" s="35" t="s">
        <v>1396</v>
      </c>
      <c r="B142" s="37" t="s">
        <v>1395</v>
      </c>
      <c r="C142" s="37" t="s">
        <v>1355</v>
      </c>
      <c r="D142" s="37" t="s">
        <v>1355</v>
      </c>
      <c r="E142" s="36" t="s">
        <v>1507</v>
      </c>
      <c r="F142" s="36" t="s">
        <v>1507</v>
      </c>
      <c r="G142" s="38">
        <v>44714</v>
      </c>
      <c r="H142" s="37" t="s">
        <v>1395</v>
      </c>
      <c r="I142" s="35" t="s">
        <v>1396</v>
      </c>
      <c r="J142" s="36" t="s">
        <v>1395</v>
      </c>
      <c r="K142" s="35" t="s">
        <v>1396</v>
      </c>
    </row>
    <row r="143" spans="1:11" x14ac:dyDescent="0.2">
      <c r="A143" s="35" t="s">
        <v>836</v>
      </c>
      <c r="B143" s="36" t="s">
        <v>837</v>
      </c>
      <c r="C143" s="37" t="s">
        <v>765</v>
      </c>
      <c r="D143" s="37" t="s">
        <v>733</v>
      </c>
      <c r="E143" s="36" t="s">
        <v>279</v>
      </c>
      <c r="F143" s="36" t="s">
        <v>1508</v>
      </c>
      <c r="G143" s="38">
        <v>44927</v>
      </c>
      <c r="H143" s="40" t="s">
        <v>543</v>
      </c>
      <c r="I143" s="40" t="s">
        <v>542</v>
      </c>
      <c r="J143" s="40" t="s">
        <v>543</v>
      </c>
      <c r="K143" s="40" t="s">
        <v>542</v>
      </c>
    </row>
    <row r="144" spans="1:11" x14ac:dyDescent="0.2">
      <c r="A144" s="35">
        <v>1716177686</v>
      </c>
      <c r="B144" s="36" t="s">
        <v>1509</v>
      </c>
      <c r="C144" s="37" t="s">
        <v>1243</v>
      </c>
      <c r="D144" s="37" t="s">
        <v>1248</v>
      </c>
      <c r="E144" s="36" t="s">
        <v>233</v>
      </c>
      <c r="F144" s="36" t="s">
        <v>1266</v>
      </c>
      <c r="G144" s="38">
        <v>44927</v>
      </c>
      <c r="H144" s="37" t="s">
        <v>1290</v>
      </c>
      <c r="I144" s="35" t="s">
        <v>1289</v>
      </c>
      <c r="J144" s="36" t="s">
        <v>1431</v>
      </c>
      <c r="K144" s="35" t="s">
        <v>1432</v>
      </c>
    </row>
    <row r="145" spans="1:11" x14ac:dyDescent="0.2">
      <c r="A145" s="35" t="s">
        <v>1510</v>
      </c>
      <c r="B145" s="36" t="s">
        <v>1511</v>
      </c>
      <c r="C145" s="37" t="s">
        <v>1043</v>
      </c>
      <c r="D145" s="37" t="s">
        <v>1040</v>
      </c>
      <c r="E145" s="36" t="s">
        <v>394</v>
      </c>
      <c r="F145" s="36" t="s">
        <v>1406</v>
      </c>
      <c r="G145" s="38">
        <v>44927</v>
      </c>
      <c r="H145" s="37" t="s">
        <v>1255</v>
      </c>
      <c r="I145" s="35" t="s">
        <v>1254</v>
      </c>
      <c r="J145" s="36" t="s">
        <v>1399</v>
      </c>
      <c r="K145" s="35" t="s">
        <v>1400</v>
      </c>
    </row>
    <row r="146" spans="1:11" x14ac:dyDescent="0.2">
      <c r="A146" s="35" t="s">
        <v>1097</v>
      </c>
      <c r="B146" s="36" t="s">
        <v>1512</v>
      </c>
      <c r="C146" s="37" t="s">
        <v>1043</v>
      </c>
      <c r="D146" s="37" t="s">
        <v>1040</v>
      </c>
      <c r="E146" s="36" t="s">
        <v>260</v>
      </c>
      <c r="F146" s="36" t="s">
        <v>1064</v>
      </c>
      <c r="G146" s="38">
        <v>44929</v>
      </c>
      <c r="H146" s="37" t="s">
        <v>1255</v>
      </c>
      <c r="I146" s="35" t="s">
        <v>1254</v>
      </c>
      <c r="J146" s="36" t="s">
        <v>1399</v>
      </c>
      <c r="K146" s="35" t="s">
        <v>1400</v>
      </c>
    </row>
    <row r="147" spans="1:11" x14ac:dyDescent="0.2">
      <c r="A147" s="35" t="s">
        <v>666</v>
      </c>
      <c r="B147" s="37" t="s">
        <v>1404</v>
      </c>
      <c r="C147" s="37" t="s">
        <v>719</v>
      </c>
      <c r="D147" s="37" t="s">
        <v>719</v>
      </c>
      <c r="E147" s="36" t="s">
        <v>1513</v>
      </c>
      <c r="F147" s="36" t="s">
        <v>1513</v>
      </c>
      <c r="G147" s="38">
        <v>45063</v>
      </c>
      <c r="H147" s="36" t="s">
        <v>1404</v>
      </c>
      <c r="I147" s="35" t="s">
        <v>666</v>
      </c>
      <c r="J147" s="36" t="s">
        <v>1404</v>
      </c>
      <c r="K147" s="35" t="s">
        <v>666</v>
      </c>
    </row>
    <row r="148" spans="1:11" x14ac:dyDescent="0.2">
      <c r="A148" s="35" t="s">
        <v>388</v>
      </c>
      <c r="B148" s="36" t="s">
        <v>389</v>
      </c>
      <c r="C148" s="37" t="s">
        <v>329</v>
      </c>
      <c r="D148" s="37" t="s">
        <v>247</v>
      </c>
      <c r="E148" s="36" t="s">
        <v>248</v>
      </c>
      <c r="F148" s="36" t="s">
        <v>249</v>
      </c>
      <c r="G148" s="38">
        <v>44927</v>
      </c>
      <c r="H148" s="37" t="s">
        <v>1401</v>
      </c>
      <c r="I148" s="35" t="s">
        <v>1402</v>
      </c>
      <c r="J148" s="36" t="s">
        <v>1403</v>
      </c>
      <c r="K148" s="35" t="s">
        <v>255</v>
      </c>
    </row>
    <row r="149" spans="1:11" x14ac:dyDescent="0.2">
      <c r="A149" s="35" t="s">
        <v>1167</v>
      </c>
      <c r="B149" s="37" t="s">
        <v>1168</v>
      </c>
      <c r="C149" s="37" t="s">
        <v>1424</v>
      </c>
      <c r="D149" s="37" t="s">
        <v>1477</v>
      </c>
      <c r="E149" s="36" t="s">
        <v>233</v>
      </c>
      <c r="F149" s="36" t="s">
        <v>1169</v>
      </c>
      <c r="G149" s="38">
        <v>44927</v>
      </c>
      <c r="H149" s="36" t="s">
        <v>1425</v>
      </c>
      <c r="I149" s="35" t="s">
        <v>1426</v>
      </c>
      <c r="J149" s="36" t="s">
        <v>1425</v>
      </c>
      <c r="K149" s="35" t="s">
        <v>1426</v>
      </c>
    </row>
    <row r="150" spans="1:11" x14ac:dyDescent="0.2">
      <c r="A150" s="35" t="s">
        <v>417</v>
      </c>
      <c r="B150" s="36" t="s">
        <v>1514</v>
      </c>
      <c r="C150" s="37" t="s">
        <v>329</v>
      </c>
      <c r="D150" s="37" t="s">
        <v>247</v>
      </c>
      <c r="E150" s="36" t="s">
        <v>264</v>
      </c>
      <c r="F150" s="36" t="s">
        <v>265</v>
      </c>
      <c r="G150" s="38">
        <v>44927</v>
      </c>
      <c r="H150" s="37" t="s">
        <v>1401</v>
      </c>
      <c r="I150" s="35" t="s">
        <v>1402</v>
      </c>
      <c r="J150" s="36" t="s">
        <v>1403</v>
      </c>
      <c r="K150" s="35" t="s">
        <v>255</v>
      </c>
    </row>
    <row r="151" spans="1:11" x14ac:dyDescent="0.2">
      <c r="A151" s="35" t="s">
        <v>1515</v>
      </c>
      <c r="B151" s="36" t="s">
        <v>1516</v>
      </c>
      <c r="C151" s="37" t="s">
        <v>1374</v>
      </c>
      <c r="D151" s="37" t="s">
        <v>1374</v>
      </c>
      <c r="E151" s="36" t="s">
        <v>1517</v>
      </c>
      <c r="F151" s="36" t="s">
        <v>1002</v>
      </c>
      <c r="G151" s="38">
        <v>44927</v>
      </c>
      <c r="H151" s="37" t="s">
        <v>874</v>
      </c>
      <c r="I151" s="35" t="s">
        <v>873</v>
      </c>
      <c r="J151" s="36" t="s">
        <v>1397</v>
      </c>
      <c r="K151" s="35" t="s">
        <v>1398</v>
      </c>
    </row>
    <row r="152" spans="1:11" ht="51" x14ac:dyDescent="0.2">
      <c r="A152" s="35" t="s">
        <v>1353</v>
      </c>
      <c r="B152" s="36" t="s">
        <v>1354</v>
      </c>
      <c r="C152" s="37" t="s">
        <v>329</v>
      </c>
      <c r="D152" s="39" t="s">
        <v>1414</v>
      </c>
      <c r="E152" s="36" t="s">
        <v>264</v>
      </c>
      <c r="F152" s="36" t="s">
        <v>265</v>
      </c>
      <c r="G152" s="38">
        <v>44927</v>
      </c>
      <c r="H152" s="37" t="s">
        <v>1415</v>
      </c>
      <c r="I152" s="35" t="s">
        <v>1416</v>
      </c>
      <c r="J152" s="36" t="s">
        <v>1403</v>
      </c>
      <c r="K152" s="35" t="s">
        <v>255</v>
      </c>
    </row>
    <row r="153" spans="1:11" x14ac:dyDescent="0.2">
      <c r="A153" s="35" t="s">
        <v>346</v>
      </c>
      <c r="B153" s="36" t="s">
        <v>347</v>
      </c>
      <c r="C153" s="37" t="s">
        <v>329</v>
      </c>
      <c r="D153" s="37" t="s">
        <v>273</v>
      </c>
      <c r="E153" s="36" t="s">
        <v>233</v>
      </c>
      <c r="F153" s="36" t="s">
        <v>274</v>
      </c>
      <c r="G153" s="38">
        <v>44927</v>
      </c>
      <c r="H153" s="37" t="s">
        <v>1478</v>
      </c>
      <c r="I153" s="35">
        <v>2100531710</v>
      </c>
      <c r="J153" s="36" t="s">
        <v>1403</v>
      </c>
      <c r="K153" s="35" t="s">
        <v>255</v>
      </c>
    </row>
    <row r="154" spans="1:11" x14ac:dyDescent="0.2">
      <c r="A154" s="35" t="s">
        <v>1518</v>
      </c>
      <c r="B154" s="36" t="s">
        <v>1519</v>
      </c>
      <c r="C154" s="37" t="s">
        <v>1243</v>
      </c>
      <c r="D154" s="37" t="s">
        <v>1231</v>
      </c>
      <c r="E154" s="36" t="s">
        <v>233</v>
      </c>
      <c r="F154" s="36" t="s">
        <v>1520</v>
      </c>
      <c r="G154" s="38">
        <v>44927</v>
      </c>
      <c r="H154" s="37" t="s">
        <v>1455</v>
      </c>
      <c r="I154" s="35" t="s">
        <v>1454</v>
      </c>
      <c r="J154" s="36" t="s">
        <v>1431</v>
      </c>
      <c r="K154" s="35" t="s">
        <v>1432</v>
      </c>
    </row>
    <row r="155" spans="1:11" x14ac:dyDescent="0.2">
      <c r="A155" s="35" t="s">
        <v>1116</v>
      </c>
      <c r="B155" s="36" t="s">
        <v>1521</v>
      </c>
      <c r="C155" s="37" t="s">
        <v>1043</v>
      </c>
      <c r="D155" s="37" t="s">
        <v>1040</v>
      </c>
      <c r="E155" s="36" t="s">
        <v>394</v>
      </c>
      <c r="F155" s="36" t="s">
        <v>1406</v>
      </c>
      <c r="G155" s="38">
        <v>44927</v>
      </c>
      <c r="H155" s="37" t="s">
        <v>1255</v>
      </c>
      <c r="I155" s="35" t="s">
        <v>1254</v>
      </c>
      <c r="J155" s="36" t="s">
        <v>1399</v>
      </c>
      <c r="K155" s="35" t="s">
        <v>1400</v>
      </c>
    </row>
    <row r="156" spans="1:11" ht="51" x14ac:dyDescent="0.2">
      <c r="A156" s="35" t="s">
        <v>1522</v>
      </c>
      <c r="B156" s="36" t="s">
        <v>1523</v>
      </c>
      <c r="C156" s="37" t="s">
        <v>329</v>
      </c>
      <c r="D156" s="39" t="s">
        <v>1414</v>
      </c>
      <c r="E156" s="36" t="s">
        <v>264</v>
      </c>
      <c r="F156" s="36" t="s">
        <v>373</v>
      </c>
      <c r="G156" s="38">
        <v>44927</v>
      </c>
      <c r="H156" s="37" t="s">
        <v>1415</v>
      </c>
      <c r="I156" s="35" t="s">
        <v>1416</v>
      </c>
      <c r="J156" s="36" t="s">
        <v>1403</v>
      </c>
      <c r="K156" s="35" t="s">
        <v>255</v>
      </c>
    </row>
    <row r="157" spans="1:11" x14ac:dyDescent="0.2">
      <c r="A157" s="35" t="s">
        <v>1524</v>
      </c>
      <c r="B157" s="36" t="s">
        <v>1525</v>
      </c>
      <c r="C157" s="37" t="s">
        <v>329</v>
      </c>
      <c r="D157" s="37" t="s">
        <v>247</v>
      </c>
      <c r="E157" s="36" t="s">
        <v>264</v>
      </c>
      <c r="F157" s="36" t="s">
        <v>265</v>
      </c>
      <c r="G157" s="38">
        <v>44927</v>
      </c>
      <c r="H157" s="37" t="s">
        <v>1401</v>
      </c>
      <c r="I157" s="35" t="s">
        <v>1402</v>
      </c>
      <c r="J157" s="36" t="s">
        <v>1403</v>
      </c>
      <c r="K157" s="35" t="s">
        <v>255</v>
      </c>
    </row>
    <row r="158" spans="1:11" x14ac:dyDescent="0.2">
      <c r="A158" s="35">
        <v>1718697764</v>
      </c>
      <c r="B158" s="36" t="s">
        <v>1526</v>
      </c>
      <c r="C158" s="37" t="s">
        <v>1043</v>
      </c>
      <c r="D158" s="37" t="s">
        <v>1031</v>
      </c>
      <c r="E158" s="36" t="s">
        <v>220</v>
      </c>
      <c r="F158" s="36" t="s">
        <v>1091</v>
      </c>
      <c r="G158" s="38">
        <v>44927</v>
      </c>
      <c r="H158" s="37" t="s">
        <v>1442</v>
      </c>
      <c r="I158" s="35" t="s">
        <v>1441</v>
      </c>
      <c r="J158" s="36" t="s">
        <v>1399</v>
      </c>
      <c r="K158" s="35" t="s">
        <v>1400</v>
      </c>
    </row>
    <row r="159" spans="1:11" x14ac:dyDescent="0.2">
      <c r="A159" s="35" t="s">
        <v>1060</v>
      </c>
      <c r="B159" s="36" t="s">
        <v>1061</v>
      </c>
      <c r="C159" s="37" t="s">
        <v>1043</v>
      </c>
      <c r="D159" s="37" t="s">
        <v>1040</v>
      </c>
      <c r="E159" s="36" t="s">
        <v>394</v>
      </c>
      <c r="F159" s="36" t="s">
        <v>1406</v>
      </c>
      <c r="G159" s="38">
        <v>44927</v>
      </c>
      <c r="H159" s="37" t="s">
        <v>1255</v>
      </c>
      <c r="I159" s="35" t="s">
        <v>1254</v>
      </c>
      <c r="J159" s="36" t="s">
        <v>1399</v>
      </c>
      <c r="K159" s="35" t="s">
        <v>1400</v>
      </c>
    </row>
    <row r="160" spans="1:11" x14ac:dyDescent="0.2">
      <c r="A160" s="35" t="s">
        <v>1527</v>
      </c>
      <c r="B160" s="37" t="s">
        <v>1528</v>
      </c>
      <c r="C160" s="37" t="s">
        <v>1355</v>
      </c>
      <c r="D160" s="37" t="s">
        <v>1309</v>
      </c>
      <c r="E160" s="36" t="s">
        <v>220</v>
      </c>
      <c r="F160" s="36" t="s">
        <v>1529</v>
      </c>
      <c r="G160" s="38">
        <v>44927</v>
      </c>
      <c r="H160" s="37" t="s">
        <v>1395</v>
      </c>
      <c r="I160" s="35" t="s">
        <v>1396</v>
      </c>
      <c r="J160" s="36" t="s">
        <v>1395</v>
      </c>
      <c r="K160" s="35" t="s">
        <v>1396</v>
      </c>
    </row>
    <row r="161" spans="1:11" x14ac:dyDescent="0.2">
      <c r="A161" s="35">
        <v>1720221488</v>
      </c>
      <c r="B161" s="36" t="s">
        <v>948</v>
      </c>
      <c r="C161" s="37" t="s">
        <v>1374</v>
      </c>
      <c r="D161" s="37" t="s">
        <v>853</v>
      </c>
      <c r="E161" s="36" t="s">
        <v>264</v>
      </c>
      <c r="F161" s="36" t="s">
        <v>265</v>
      </c>
      <c r="G161" s="38">
        <v>44927</v>
      </c>
      <c r="H161" s="37" t="s">
        <v>923</v>
      </c>
      <c r="I161" s="35" t="s">
        <v>922</v>
      </c>
      <c r="J161" s="36" t="s">
        <v>1397</v>
      </c>
      <c r="K161" s="35" t="s">
        <v>1398</v>
      </c>
    </row>
    <row r="162" spans="1:11" x14ac:dyDescent="0.2">
      <c r="A162" s="35" t="s">
        <v>1530</v>
      </c>
      <c r="B162" s="36" t="s">
        <v>1531</v>
      </c>
      <c r="C162" s="37" t="s">
        <v>1243</v>
      </c>
      <c r="D162" s="37" t="s">
        <v>1231</v>
      </c>
      <c r="E162" s="36" t="s">
        <v>264</v>
      </c>
      <c r="F162" s="36" t="s">
        <v>265</v>
      </c>
      <c r="G162" s="38">
        <v>45017</v>
      </c>
      <c r="H162" s="37" t="s">
        <v>1455</v>
      </c>
      <c r="I162" s="35" t="s">
        <v>1454</v>
      </c>
      <c r="J162" s="36" t="s">
        <v>1431</v>
      </c>
      <c r="K162" s="35" t="s">
        <v>1432</v>
      </c>
    </row>
    <row r="163" spans="1:11" x14ac:dyDescent="0.2">
      <c r="A163" s="35">
        <v>1721077764</v>
      </c>
      <c r="B163" s="36" t="s">
        <v>259</v>
      </c>
      <c r="C163" s="37" t="s">
        <v>329</v>
      </c>
      <c r="D163" s="37" t="s">
        <v>247</v>
      </c>
      <c r="E163" s="36" t="s">
        <v>279</v>
      </c>
      <c r="F163" s="36" t="s">
        <v>385</v>
      </c>
      <c r="G163" s="38">
        <v>44927</v>
      </c>
      <c r="H163" s="37" t="s">
        <v>1401</v>
      </c>
      <c r="I163" s="35" t="s">
        <v>1402</v>
      </c>
      <c r="J163" s="36" t="s">
        <v>1403</v>
      </c>
      <c r="K163" s="35" t="s">
        <v>255</v>
      </c>
    </row>
    <row r="164" spans="1:11" x14ac:dyDescent="0.2">
      <c r="A164" s="35" t="s">
        <v>1532</v>
      </c>
      <c r="B164" s="36" t="s">
        <v>1533</v>
      </c>
      <c r="C164" s="37" t="s">
        <v>765</v>
      </c>
      <c r="D164" s="37" t="s">
        <v>739</v>
      </c>
      <c r="E164" s="36" t="s">
        <v>394</v>
      </c>
      <c r="F164" s="36" t="s">
        <v>1406</v>
      </c>
      <c r="G164" s="38">
        <v>44927</v>
      </c>
      <c r="H164" s="40" t="s">
        <v>543</v>
      </c>
      <c r="I164" s="40" t="s">
        <v>542</v>
      </c>
      <c r="J164" s="40" t="s">
        <v>543</v>
      </c>
      <c r="K164" s="40" t="s">
        <v>542</v>
      </c>
    </row>
    <row r="165" spans="1:11" x14ac:dyDescent="0.2">
      <c r="A165" s="35" t="s">
        <v>1062</v>
      </c>
      <c r="B165" s="36" t="s">
        <v>1063</v>
      </c>
      <c r="C165" s="37" t="s">
        <v>1043</v>
      </c>
      <c r="D165" s="37" t="s">
        <v>1040</v>
      </c>
      <c r="E165" s="36" t="s">
        <v>260</v>
      </c>
      <c r="F165" s="36" t="s">
        <v>1064</v>
      </c>
      <c r="G165" s="38">
        <v>44929</v>
      </c>
      <c r="H165" s="37" t="s">
        <v>1255</v>
      </c>
      <c r="I165" s="35" t="s">
        <v>1254</v>
      </c>
      <c r="J165" s="36" t="s">
        <v>1399</v>
      </c>
      <c r="K165" s="35" t="s">
        <v>1400</v>
      </c>
    </row>
    <row r="166" spans="1:11" x14ac:dyDescent="0.2">
      <c r="A166" s="35" t="s">
        <v>1534</v>
      </c>
      <c r="B166" s="36" t="s">
        <v>1535</v>
      </c>
      <c r="C166" s="37" t="s">
        <v>1243</v>
      </c>
      <c r="D166" s="37" t="s">
        <v>1234</v>
      </c>
      <c r="E166" s="36" t="s">
        <v>264</v>
      </c>
      <c r="F166" s="36" t="s">
        <v>265</v>
      </c>
      <c r="G166" s="38">
        <v>44927</v>
      </c>
      <c r="H166" s="37" t="s">
        <v>1233</v>
      </c>
      <c r="I166" s="35" t="s">
        <v>1232</v>
      </c>
      <c r="J166" s="36" t="s">
        <v>1431</v>
      </c>
      <c r="K166" s="35" t="s">
        <v>1432</v>
      </c>
    </row>
    <row r="167" spans="1:11" x14ac:dyDescent="0.2">
      <c r="A167" s="35">
        <v>1722931175</v>
      </c>
      <c r="B167" s="36" t="s">
        <v>1536</v>
      </c>
      <c r="C167" s="37" t="s">
        <v>329</v>
      </c>
      <c r="D167" s="37" t="s">
        <v>247</v>
      </c>
      <c r="E167" s="36" t="s">
        <v>301</v>
      </c>
      <c r="F167" s="36" t="s">
        <v>548</v>
      </c>
      <c r="G167" s="38">
        <v>44927</v>
      </c>
      <c r="H167" s="37" t="s">
        <v>1401</v>
      </c>
      <c r="I167" s="35" t="s">
        <v>1402</v>
      </c>
      <c r="J167" s="36" t="s">
        <v>1403</v>
      </c>
      <c r="K167" s="35" t="s">
        <v>255</v>
      </c>
    </row>
    <row r="168" spans="1:11" x14ac:dyDescent="0.2">
      <c r="A168" s="35">
        <v>1724449952</v>
      </c>
      <c r="B168" s="36" t="s">
        <v>583</v>
      </c>
      <c r="C168" s="37" t="s">
        <v>488</v>
      </c>
      <c r="D168" s="37" t="s">
        <v>482</v>
      </c>
      <c r="E168" s="36" t="s">
        <v>264</v>
      </c>
      <c r="F168" s="36" t="s">
        <v>265</v>
      </c>
      <c r="G168" s="38">
        <v>44927</v>
      </c>
      <c r="H168" s="37" t="s">
        <v>1036</v>
      </c>
      <c r="I168" s="35" t="s">
        <v>1035</v>
      </c>
      <c r="J168" s="36" t="s">
        <v>1390</v>
      </c>
      <c r="K168" s="35" t="s">
        <v>1391</v>
      </c>
    </row>
    <row r="169" spans="1:11" x14ac:dyDescent="0.2">
      <c r="A169" s="35">
        <v>1725306631</v>
      </c>
      <c r="B169" s="36" t="s">
        <v>1537</v>
      </c>
      <c r="C169" s="37" t="s">
        <v>1043</v>
      </c>
      <c r="D169" s="37" t="s">
        <v>1031</v>
      </c>
      <c r="E169" s="36" t="s">
        <v>220</v>
      </c>
      <c r="F169" s="36" t="s">
        <v>1538</v>
      </c>
      <c r="G169" s="38">
        <v>44927</v>
      </c>
      <c r="H169" s="37" t="s">
        <v>1442</v>
      </c>
      <c r="I169" s="35" t="s">
        <v>1441</v>
      </c>
      <c r="J169" s="36" t="s">
        <v>1399</v>
      </c>
      <c r="K169" s="35" t="s">
        <v>1400</v>
      </c>
    </row>
    <row r="170" spans="1:11" x14ac:dyDescent="0.2">
      <c r="A170" s="35">
        <v>1726032616</v>
      </c>
      <c r="B170" s="36" t="s">
        <v>1539</v>
      </c>
      <c r="C170" s="37" t="s">
        <v>329</v>
      </c>
      <c r="D170" s="37" t="s">
        <v>247</v>
      </c>
      <c r="E170" s="36" t="s">
        <v>264</v>
      </c>
      <c r="F170" s="36" t="s">
        <v>265</v>
      </c>
      <c r="G170" s="38">
        <v>44927</v>
      </c>
      <c r="H170" s="37" t="s">
        <v>1401</v>
      </c>
      <c r="I170" s="35" t="s">
        <v>1402</v>
      </c>
      <c r="J170" s="36" t="s">
        <v>1403</v>
      </c>
      <c r="K170" s="35" t="s">
        <v>255</v>
      </c>
    </row>
    <row r="171" spans="1:11" x14ac:dyDescent="0.2">
      <c r="A171" s="35">
        <v>1727001594</v>
      </c>
      <c r="B171" s="36" t="s">
        <v>1540</v>
      </c>
      <c r="C171" s="37" t="s">
        <v>1374</v>
      </c>
      <c r="D171" s="37" t="s">
        <v>871</v>
      </c>
      <c r="E171" s="36" t="s">
        <v>301</v>
      </c>
      <c r="F171" s="36" t="s">
        <v>302</v>
      </c>
      <c r="G171" s="38">
        <v>44927</v>
      </c>
      <c r="H171" s="37" t="s">
        <v>955</v>
      </c>
      <c r="I171" s="35" t="s">
        <v>954</v>
      </c>
      <c r="J171" s="36" t="s">
        <v>1397</v>
      </c>
      <c r="K171" s="35" t="s">
        <v>1398</v>
      </c>
    </row>
    <row r="172" spans="1:11" x14ac:dyDescent="0.2">
      <c r="A172" s="35">
        <v>1753204617</v>
      </c>
      <c r="B172" s="36" t="s">
        <v>1541</v>
      </c>
      <c r="C172" s="37" t="s">
        <v>1355</v>
      </c>
      <c r="D172" s="37" t="s">
        <v>1435</v>
      </c>
      <c r="E172" s="36" t="s">
        <v>260</v>
      </c>
      <c r="F172" s="36" t="s">
        <v>1542</v>
      </c>
      <c r="G172" s="38">
        <v>44927</v>
      </c>
      <c r="H172" s="37" t="s">
        <v>1436</v>
      </c>
      <c r="I172" s="35" t="s">
        <v>1437</v>
      </c>
      <c r="J172" s="36" t="s">
        <v>1395</v>
      </c>
      <c r="K172" s="35" t="s">
        <v>1396</v>
      </c>
    </row>
    <row r="173" spans="1:11" x14ac:dyDescent="0.2">
      <c r="A173" s="35">
        <v>1801418474</v>
      </c>
      <c r="B173" s="36" t="s">
        <v>454</v>
      </c>
      <c r="C173" s="37" t="s">
        <v>329</v>
      </c>
      <c r="D173" s="37" t="s">
        <v>247</v>
      </c>
      <c r="E173" s="36" t="s">
        <v>455</v>
      </c>
      <c r="F173" s="36" t="s">
        <v>455</v>
      </c>
      <c r="G173" s="38">
        <v>44927</v>
      </c>
      <c r="H173" s="37" t="s">
        <v>1401</v>
      </c>
      <c r="I173" s="35" t="s">
        <v>1402</v>
      </c>
      <c r="J173" s="36" t="s">
        <v>1403</v>
      </c>
      <c r="K173" s="35" t="s">
        <v>255</v>
      </c>
    </row>
    <row r="174" spans="1:11" x14ac:dyDescent="0.2">
      <c r="A174" s="35">
        <v>1801875582</v>
      </c>
      <c r="B174" s="36" t="s">
        <v>1066</v>
      </c>
      <c r="C174" s="37" t="s">
        <v>1043</v>
      </c>
      <c r="D174" s="37" t="s">
        <v>1040</v>
      </c>
      <c r="E174" s="36" t="s">
        <v>1067</v>
      </c>
      <c r="F174" s="36" t="s">
        <v>1067</v>
      </c>
      <c r="G174" s="38">
        <v>44927</v>
      </c>
      <c r="H174" s="37" t="s">
        <v>1255</v>
      </c>
      <c r="I174" s="35" t="s">
        <v>1254</v>
      </c>
      <c r="J174" s="36" t="s">
        <v>1399</v>
      </c>
      <c r="K174" s="35" t="s">
        <v>1400</v>
      </c>
    </row>
    <row r="175" spans="1:11" x14ac:dyDescent="0.2">
      <c r="A175" s="35">
        <v>2100531710</v>
      </c>
      <c r="B175" s="37" t="s">
        <v>1478</v>
      </c>
      <c r="C175" s="37" t="s">
        <v>329</v>
      </c>
      <c r="D175" s="37" t="s">
        <v>273</v>
      </c>
      <c r="E175" s="36" t="s">
        <v>233</v>
      </c>
      <c r="F175" s="36" t="s">
        <v>274</v>
      </c>
      <c r="G175" s="38">
        <v>44927</v>
      </c>
      <c r="H175" s="36" t="s">
        <v>1403</v>
      </c>
      <c r="I175" s="35" t="s">
        <v>255</v>
      </c>
      <c r="J175" s="36" t="s">
        <v>1403</v>
      </c>
      <c r="K175" s="35" t="s">
        <v>255</v>
      </c>
    </row>
    <row r="176" spans="1:11" x14ac:dyDescent="0.2">
      <c r="A176" s="35">
        <v>2200081582</v>
      </c>
      <c r="B176" s="36" t="s">
        <v>1543</v>
      </c>
      <c r="C176" s="37" t="s">
        <v>329</v>
      </c>
      <c r="D176" s="37" t="s">
        <v>247</v>
      </c>
      <c r="E176" s="36" t="s">
        <v>279</v>
      </c>
      <c r="F176" s="36" t="s">
        <v>385</v>
      </c>
      <c r="G176" s="38">
        <v>44927</v>
      </c>
      <c r="H176" s="37" t="s">
        <v>1401</v>
      </c>
      <c r="I176" s="35" t="s">
        <v>1402</v>
      </c>
      <c r="J176" s="36" t="s">
        <v>1403</v>
      </c>
      <c r="K176" s="35" t="s">
        <v>255</v>
      </c>
    </row>
    <row r="177" spans="1:11" x14ac:dyDescent="0.2">
      <c r="A177" s="35">
        <v>400722195</v>
      </c>
      <c r="B177" s="37" t="s">
        <v>1397</v>
      </c>
      <c r="C177" s="37" t="s">
        <v>1374</v>
      </c>
      <c r="D177" s="37" t="s">
        <v>1374</v>
      </c>
      <c r="E177" s="36" t="s">
        <v>295</v>
      </c>
      <c r="F177" s="36" t="s">
        <v>295</v>
      </c>
      <c r="G177" s="38">
        <v>44927</v>
      </c>
      <c r="H177" s="36" t="s">
        <v>1397</v>
      </c>
      <c r="I177" s="35" t="s">
        <v>1398</v>
      </c>
      <c r="J177" s="36" t="s">
        <v>1397</v>
      </c>
      <c r="K177" s="35" t="s">
        <v>1398</v>
      </c>
    </row>
    <row r="178" spans="1:11" x14ac:dyDescent="0.2">
      <c r="A178" s="36" t="s">
        <v>1372</v>
      </c>
      <c r="B178" s="36" t="s">
        <v>1544</v>
      </c>
      <c r="C178" s="37" t="s">
        <v>1374</v>
      </c>
      <c r="D178" s="37" t="s">
        <v>1374</v>
      </c>
      <c r="E178" s="36" t="s">
        <v>264</v>
      </c>
      <c r="F178" s="41"/>
      <c r="G178" s="42"/>
      <c r="H178" s="37" t="s">
        <v>874</v>
      </c>
      <c r="I178" s="35" t="s">
        <v>873</v>
      </c>
      <c r="J178" s="36" t="s">
        <v>1397</v>
      </c>
      <c r="K178" s="35" t="s">
        <v>1398</v>
      </c>
    </row>
    <row r="179" spans="1:11" x14ac:dyDescent="0.2">
      <c r="B179" s="32"/>
      <c r="C179" s="32"/>
      <c r="D179" s="32"/>
      <c r="E179" s="32"/>
      <c r="F179" s="32"/>
      <c r="G179" s="34"/>
      <c r="H179" s="32"/>
      <c r="J179"/>
    </row>
    <row r="180" spans="1:11" x14ac:dyDescent="0.2">
      <c r="B180" s="32"/>
      <c r="C180" s="32"/>
      <c r="D180" s="32"/>
      <c r="E180" s="32"/>
      <c r="F180" s="32"/>
      <c r="G180" s="34"/>
      <c r="H180" s="32"/>
      <c r="J180"/>
    </row>
    <row r="181" spans="1:11" x14ac:dyDescent="0.2">
      <c r="B181" s="32"/>
      <c r="C181" s="32"/>
      <c r="D181" s="32"/>
      <c r="E181" s="32"/>
      <c r="F181" s="32"/>
      <c r="G181" s="34"/>
      <c r="H181" s="32"/>
      <c r="J181"/>
    </row>
    <row r="182" spans="1:11" x14ac:dyDescent="0.2">
      <c r="B182" s="32"/>
      <c r="C182" s="32"/>
      <c r="D182" s="32"/>
      <c r="E182" s="32"/>
      <c r="F182" s="32"/>
      <c r="G182" s="34"/>
      <c r="H182" s="32"/>
      <c r="J182"/>
    </row>
    <row r="183" spans="1:11" x14ac:dyDescent="0.2">
      <c r="B183" s="32"/>
      <c r="C183" s="32"/>
      <c r="D183" s="32"/>
      <c r="E183" s="32"/>
      <c r="F183" s="32"/>
      <c r="G183" s="34"/>
      <c r="H183" s="32"/>
      <c r="J183"/>
    </row>
    <row r="184" spans="1:11" x14ac:dyDescent="0.2">
      <c r="B184" s="32"/>
      <c r="C184" s="32"/>
      <c r="D184" s="32"/>
      <c r="E184" s="32"/>
      <c r="F184" s="32"/>
      <c r="G184" s="34"/>
      <c r="H184" s="32"/>
      <c r="J184"/>
    </row>
    <row r="185" spans="1:11" x14ac:dyDescent="0.2">
      <c r="B185" s="32"/>
      <c r="C185" s="32"/>
      <c r="D185" s="32"/>
      <c r="E185" s="32"/>
      <c r="F185" s="32"/>
      <c r="G185" s="34"/>
      <c r="H185" s="32"/>
      <c r="J185"/>
    </row>
    <row r="186" spans="1:11" x14ac:dyDescent="0.2">
      <c r="B186" s="32"/>
      <c r="C186" s="32"/>
      <c r="D186" s="32"/>
      <c r="E186" s="32"/>
      <c r="F186" s="32"/>
      <c r="G186" s="34"/>
      <c r="H186" s="32"/>
      <c r="J186"/>
    </row>
    <row r="187" spans="1:11" x14ac:dyDescent="0.2">
      <c r="B187" s="32"/>
      <c r="C187" s="32"/>
      <c r="D187" s="32"/>
      <c r="E187" s="32"/>
      <c r="F187" s="32"/>
      <c r="G187" s="34"/>
      <c r="H187" s="32"/>
      <c r="J187"/>
    </row>
    <row r="188" spans="1:11" x14ac:dyDescent="0.2">
      <c r="B188" s="32"/>
      <c r="C188" s="32"/>
      <c r="D188" s="32"/>
      <c r="E188" s="32"/>
      <c r="F188" s="32"/>
      <c r="G188" s="34"/>
      <c r="H188" s="43"/>
      <c r="J188"/>
    </row>
    <row r="189" spans="1:11" x14ac:dyDescent="0.2">
      <c r="B189" s="32"/>
      <c r="C189" s="32"/>
      <c r="D189" s="32"/>
      <c r="E189" s="32"/>
      <c r="F189" s="32"/>
      <c r="G189" s="34"/>
      <c r="H189" s="32"/>
      <c r="J189"/>
    </row>
    <row r="190" spans="1:11" x14ac:dyDescent="0.2">
      <c r="B190" s="32"/>
      <c r="C190" s="32"/>
      <c r="D190" s="32"/>
      <c r="E190" s="32"/>
      <c r="F190" s="32"/>
      <c r="G190" s="34"/>
      <c r="H190" s="32"/>
      <c r="J190"/>
    </row>
    <row r="191" spans="1:11" x14ac:dyDescent="0.2">
      <c r="B191" s="32"/>
      <c r="C191" s="32"/>
      <c r="D191" s="32"/>
      <c r="E191" s="32"/>
      <c r="F191" s="32"/>
      <c r="G191" s="34"/>
      <c r="H191" s="32"/>
      <c r="J191"/>
    </row>
    <row r="192" spans="1:11" x14ac:dyDescent="0.2">
      <c r="B192" s="32"/>
      <c r="C192" s="32"/>
      <c r="D192" s="32"/>
      <c r="E192" s="32"/>
      <c r="F192" s="32"/>
      <c r="G192" s="34"/>
      <c r="H192" s="32"/>
      <c r="J192"/>
    </row>
    <row r="193" spans="2:10" x14ac:dyDescent="0.2">
      <c r="B193" s="32"/>
      <c r="C193" s="32"/>
      <c r="D193" s="32"/>
      <c r="E193" s="32"/>
      <c r="F193" s="32"/>
      <c r="G193" s="34"/>
      <c r="H193" s="32"/>
      <c r="J193"/>
    </row>
    <row r="194" spans="2:10" x14ac:dyDescent="0.2">
      <c r="B194" s="32"/>
      <c r="C194" s="32"/>
      <c r="D194" s="32"/>
      <c r="E194" s="32"/>
      <c r="F194" s="32"/>
      <c r="G194" s="34"/>
      <c r="H194" s="32"/>
      <c r="J194"/>
    </row>
    <row r="195" spans="2:10" x14ac:dyDescent="0.2">
      <c r="B195" s="32"/>
      <c r="C195" s="32"/>
      <c r="D195" s="32"/>
      <c r="E195" s="32"/>
      <c r="F195" s="32"/>
      <c r="G195" s="34"/>
      <c r="H195" s="32"/>
      <c r="J195"/>
    </row>
    <row r="196" spans="2:10" x14ac:dyDescent="0.2">
      <c r="B196" s="32"/>
      <c r="C196" s="32"/>
      <c r="D196" s="32"/>
      <c r="E196" s="32"/>
      <c r="F196" s="32"/>
      <c r="G196" s="34"/>
      <c r="H196" s="32"/>
      <c r="J196"/>
    </row>
    <row r="197" spans="2:10" x14ac:dyDescent="0.2">
      <c r="B197" s="32"/>
      <c r="C197" s="32"/>
      <c r="D197" s="32"/>
      <c r="E197" s="32"/>
      <c r="F197" s="32"/>
      <c r="G197" s="34"/>
      <c r="H197" s="32"/>
      <c r="J197"/>
    </row>
    <row r="198" spans="2:10" x14ac:dyDescent="0.2">
      <c r="B198" s="32"/>
      <c r="C198" s="32"/>
      <c r="D198" s="32"/>
      <c r="E198" s="32"/>
      <c r="F198" s="32"/>
      <c r="G198" s="34"/>
      <c r="H198" s="32"/>
      <c r="J198"/>
    </row>
    <row r="199" spans="2:10" x14ac:dyDescent="0.2">
      <c r="B199" s="32"/>
      <c r="C199" s="32"/>
      <c r="D199" s="32"/>
      <c r="E199" s="32"/>
      <c r="F199" s="32"/>
      <c r="G199" s="34"/>
      <c r="H199" s="32"/>
      <c r="J199"/>
    </row>
    <row r="200" spans="2:10" x14ac:dyDescent="0.2">
      <c r="B200" s="32"/>
      <c r="C200" s="32"/>
      <c r="D200" s="32"/>
      <c r="E200" s="32"/>
      <c r="F200" s="32"/>
      <c r="G200" s="34"/>
      <c r="H200" s="32"/>
      <c r="J200"/>
    </row>
    <row r="201" spans="2:10" x14ac:dyDescent="0.2">
      <c r="B201" s="32"/>
      <c r="C201" s="32"/>
      <c r="D201" s="32"/>
      <c r="E201" s="32"/>
      <c r="F201" s="32"/>
      <c r="G201" s="34"/>
      <c r="H201" s="32"/>
      <c r="J201"/>
    </row>
    <row r="202" spans="2:10" x14ac:dyDescent="0.2">
      <c r="B202" s="32"/>
      <c r="C202" s="32"/>
      <c r="D202" s="32"/>
      <c r="E202" s="32"/>
      <c r="F202" s="32"/>
      <c r="G202" s="34"/>
      <c r="H202" s="32"/>
      <c r="J202"/>
    </row>
    <row r="203" spans="2:10" x14ac:dyDescent="0.2">
      <c r="B203" s="32"/>
      <c r="C203" s="32"/>
      <c r="D203" s="32"/>
      <c r="E203" s="32"/>
      <c r="F203" s="32"/>
      <c r="G203" s="34"/>
      <c r="H203" s="32"/>
      <c r="J203"/>
    </row>
    <row r="204" spans="2:10" x14ac:dyDescent="0.2">
      <c r="B204" s="32"/>
      <c r="C204" s="32"/>
      <c r="D204" s="32"/>
      <c r="E204" s="32"/>
      <c r="F204" s="32"/>
      <c r="G204" s="34"/>
      <c r="H204" s="32"/>
      <c r="J204"/>
    </row>
    <row r="205" spans="2:10" x14ac:dyDescent="0.2">
      <c r="B205" s="32"/>
      <c r="C205" s="32"/>
      <c r="D205" s="32"/>
      <c r="E205" s="32"/>
      <c r="F205" s="32"/>
      <c r="G205" s="34"/>
      <c r="H205" s="32"/>
      <c r="J205"/>
    </row>
    <row r="206" spans="2:10" x14ac:dyDescent="0.2">
      <c r="B206" s="32"/>
      <c r="C206" s="32"/>
      <c r="D206" s="32"/>
      <c r="E206" s="32"/>
      <c r="F206" s="32"/>
      <c r="G206" s="34"/>
      <c r="H206" s="32"/>
      <c r="J206"/>
    </row>
    <row r="207" spans="2:10" x14ac:dyDescent="0.2">
      <c r="B207" s="32"/>
      <c r="C207" s="32"/>
      <c r="D207" s="32"/>
      <c r="E207" s="32"/>
      <c r="F207" s="32"/>
      <c r="G207" s="34"/>
      <c r="H207" s="32"/>
      <c r="J207"/>
    </row>
    <row r="208" spans="2:10" x14ac:dyDescent="0.2">
      <c r="B208" s="32"/>
      <c r="C208" s="32"/>
      <c r="D208" s="32"/>
      <c r="E208" s="32"/>
      <c r="F208" s="32"/>
      <c r="G208" s="34"/>
      <c r="H208" s="32"/>
      <c r="J208"/>
    </row>
    <row r="209" spans="2:10" x14ac:dyDescent="0.2">
      <c r="B209" s="32"/>
      <c r="C209" s="32"/>
      <c r="D209" s="32"/>
      <c r="E209" s="32"/>
      <c r="F209" s="32"/>
      <c r="G209" s="34"/>
      <c r="H209" s="32"/>
      <c r="J209"/>
    </row>
    <row r="210" spans="2:10" x14ac:dyDescent="0.2">
      <c r="B210" s="32"/>
      <c r="C210" s="32"/>
      <c r="D210" s="32"/>
      <c r="E210" s="32"/>
      <c r="F210" s="32"/>
      <c r="G210" s="34"/>
      <c r="H210" s="32"/>
      <c r="J210"/>
    </row>
    <row r="211" spans="2:10" x14ac:dyDescent="0.2">
      <c r="B211" s="32"/>
      <c r="C211" s="32"/>
      <c r="D211" s="32"/>
      <c r="E211" s="32"/>
      <c r="F211" s="32"/>
      <c r="G211" s="34"/>
      <c r="H211" s="32"/>
      <c r="J211" s="32"/>
    </row>
    <row r="212" spans="2:10" x14ac:dyDescent="0.2">
      <c r="B212" s="32"/>
      <c r="C212" s="32"/>
      <c r="D212" s="32"/>
      <c r="E212" s="32"/>
      <c r="F212" s="32"/>
      <c r="G212" s="34"/>
      <c r="H212" s="32"/>
      <c r="J212" s="32"/>
    </row>
    <row r="213" spans="2:10" x14ac:dyDescent="0.2">
      <c r="B213" s="32"/>
      <c r="C213" s="32"/>
      <c r="D213" s="32"/>
      <c r="E213" s="32"/>
      <c r="F213" s="32"/>
      <c r="G213" s="34"/>
      <c r="H213" s="32"/>
      <c r="J213" s="32"/>
    </row>
    <row r="214" spans="2:10" x14ac:dyDescent="0.2">
      <c r="B214" s="32"/>
      <c r="C214" s="32"/>
      <c r="D214" s="32"/>
      <c r="E214" s="32"/>
      <c r="F214" s="32"/>
      <c r="G214" s="34"/>
      <c r="H214" s="32"/>
      <c r="J214" s="32"/>
    </row>
    <row r="215" spans="2:10" x14ac:dyDescent="0.2">
      <c r="B215" s="32"/>
      <c r="C215" s="32"/>
      <c r="D215" s="32"/>
      <c r="E215" s="32"/>
      <c r="F215" s="32"/>
      <c r="G215" s="34"/>
      <c r="H215" s="32"/>
      <c r="J215" s="32"/>
    </row>
    <row r="216" spans="2:10" x14ac:dyDescent="0.2">
      <c r="B216" s="32"/>
      <c r="C216" s="32"/>
      <c r="D216" s="32"/>
      <c r="E216" s="32"/>
      <c r="F216" s="32"/>
      <c r="G216" s="34"/>
      <c r="H216" s="32"/>
      <c r="J216" s="32"/>
    </row>
    <row r="217" spans="2:10" x14ac:dyDescent="0.2">
      <c r="B217" s="32"/>
      <c r="C217" s="32"/>
      <c r="D217" s="32"/>
      <c r="E217" s="32"/>
      <c r="F217" s="32"/>
      <c r="G217" s="34"/>
      <c r="H217" s="32"/>
      <c r="J217" s="32"/>
    </row>
    <row r="218" spans="2:10" x14ac:dyDescent="0.2">
      <c r="B218" s="32"/>
      <c r="C218" s="32"/>
      <c r="D218" s="32"/>
      <c r="E218" s="32"/>
      <c r="F218" s="32"/>
      <c r="G218" s="34"/>
      <c r="H218" s="32"/>
      <c r="J218" s="32"/>
    </row>
    <row r="219" spans="2:10" x14ac:dyDescent="0.2">
      <c r="B219" s="32"/>
      <c r="C219" s="32"/>
      <c r="D219" s="32"/>
      <c r="E219" s="32"/>
      <c r="F219" s="32"/>
      <c r="G219" s="34"/>
      <c r="H219" s="32"/>
      <c r="J219" s="32"/>
    </row>
    <row r="220" spans="2:10" x14ac:dyDescent="0.2">
      <c r="B220" s="32"/>
      <c r="C220" s="32"/>
      <c r="D220" s="32"/>
      <c r="E220" s="32"/>
      <c r="F220" s="32"/>
      <c r="G220" s="34"/>
      <c r="H220" s="32"/>
      <c r="J220" s="32"/>
    </row>
    <row r="221" spans="2:10" x14ac:dyDescent="0.2">
      <c r="B221" s="32"/>
      <c r="C221" s="32"/>
      <c r="D221" s="32"/>
      <c r="E221" s="32"/>
      <c r="F221" s="32"/>
      <c r="G221" s="34"/>
      <c r="H221" s="32"/>
      <c r="J221" s="32"/>
    </row>
    <row r="222" spans="2:10" x14ac:dyDescent="0.2">
      <c r="B222" s="32"/>
      <c r="C222" s="32"/>
      <c r="D222" s="32"/>
      <c r="E222" s="32"/>
      <c r="F222" s="32"/>
      <c r="G222" s="34"/>
      <c r="H222" s="32"/>
      <c r="J222" s="32"/>
    </row>
    <row r="223" spans="2:10" x14ac:dyDescent="0.2">
      <c r="B223" s="32"/>
      <c r="C223" s="32"/>
      <c r="D223" s="32"/>
      <c r="E223" s="32"/>
      <c r="F223" s="32"/>
      <c r="G223" s="34"/>
      <c r="H223" s="32"/>
      <c r="J223" s="32"/>
    </row>
    <row r="224" spans="2:10" x14ac:dyDescent="0.2">
      <c r="B224" s="32"/>
      <c r="C224" s="32"/>
      <c r="D224" s="32"/>
      <c r="E224" s="32"/>
      <c r="F224" s="32"/>
      <c r="G224" s="34"/>
      <c r="H224" s="32"/>
      <c r="J224" s="32"/>
    </row>
    <row r="225" spans="2:10" x14ac:dyDescent="0.2">
      <c r="B225" s="32"/>
      <c r="C225" s="32"/>
      <c r="D225" s="32"/>
      <c r="E225" s="32"/>
      <c r="F225" s="32"/>
      <c r="G225" s="34"/>
      <c r="J225" s="32"/>
    </row>
    <row r="226" spans="2:10" x14ac:dyDescent="0.2">
      <c r="B226" s="32"/>
      <c r="C226" s="32"/>
      <c r="D226" s="32"/>
      <c r="E226" s="32"/>
      <c r="F226" s="32"/>
      <c r="G226" s="34"/>
    </row>
    <row r="227" spans="2:10" x14ac:dyDescent="0.2">
      <c r="B227" s="32"/>
      <c r="C227" s="32"/>
      <c r="D227" s="32"/>
      <c r="E227" s="32"/>
      <c r="F227" s="32"/>
      <c r="G227" s="34"/>
      <c r="J227"/>
    </row>
    <row r="228" spans="2:10" x14ac:dyDescent="0.2">
      <c r="B228" s="32"/>
      <c r="C228" s="32"/>
      <c r="D228" s="32"/>
      <c r="E228" s="32"/>
      <c r="F228" s="32"/>
      <c r="G228" s="34"/>
      <c r="J228"/>
    </row>
    <row r="229" spans="2:10" x14ac:dyDescent="0.2">
      <c r="B229" s="32"/>
      <c r="C229" s="32"/>
      <c r="D229" s="32"/>
      <c r="E229" s="32"/>
      <c r="F229" s="32"/>
      <c r="G229" s="34"/>
      <c r="J229"/>
    </row>
    <row r="230" spans="2:10" x14ac:dyDescent="0.2">
      <c r="B230" s="32"/>
      <c r="C230" s="32"/>
      <c r="D230" s="32"/>
      <c r="E230" s="32"/>
      <c r="F230" s="32"/>
      <c r="G230" s="34"/>
      <c r="J230"/>
    </row>
    <row r="231" spans="2:10" x14ac:dyDescent="0.2">
      <c r="B231" s="32"/>
      <c r="C231" s="32"/>
      <c r="D231" s="32"/>
      <c r="E231" s="32"/>
      <c r="F231" s="32"/>
      <c r="G231" s="34"/>
      <c r="J231"/>
    </row>
    <row r="232" spans="2:10" x14ac:dyDescent="0.2">
      <c r="B232" s="32"/>
      <c r="C232" s="32"/>
      <c r="D232" s="32"/>
      <c r="E232" s="32"/>
      <c r="F232" s="32"/>
      <c r="G232" s="34"/>
      <c r="J232"/>
    </row>
    <row r="233" spans="2:10" x14ac:dyDescent="0.2">
      <c r="B233" s="32"/>
      <c r="C233" s="32"/>
      <c r="D233" s="32"/>
      <c r="E233" s="32"/>
      <c r="F233" s="32"/>
      <c r="G233" s="34"/>
      <c r="H233"/>
      <c r="J233"/>
    </row>
    <row r="234" spans="2:10" x14ac:dyDescent="0.2">
      <c r="B234" s="32"/>
      <c r="C234" s="32"/>
      <c r="D234" s="32"/>
      <c r="E234" s="32"/>
      <c r="F234" s="32"/>
      <c r="G234" s="34"/>
      <c r="H234"/>
      <c r="J234"/>
    </row>
    <row r="235" spans="2:10" x14ac:dyDescent="0.2">
      <c r="B235" s="32"/>
      <c r="C235" s="32"/>
      <c r="D235" s="32"/>
      <c r="E235" s="32"/>
      <c r="F235" s="32"/>
      <c r="G235" s="34"/>
      <c r="H235"/>
      <c r="J235"/>
    </row>
    <row r="236" spans="2:10" x14ac:dyDescent="0.2">
      <c r="B236" s="32"/>
      <c r="C236" s="32"/>
      <c r="D236" s="32"/>
      <c r="E236" s="32"/>
      <c r="F236" s="32"/>
      <c r="G236" s="34"/>
    </row>
    <row r="237" spans="2:10" x14ac:dyDescent="0.2">
      <c r="B237" s="32"/>
      <c r="C237" s="32"/>
      <c r="D237" s="32"/>
      <c r="E237" s="32"/>
      <c r="F237" s="32"/>
      <c r="G237" s="34"/>
      <c r="J237"/>
    </row>
    <row r="238" spans="2:10" x14ac:dyDescent="0.2">
      <c r="B238" s="32"/>
      <c r="C238" s="32"/>
      <c r="D238" s="32"/>
      <c r="E238" s="32"/>
      <c r="F238" s="32"/>
      <c r="G238" s="34"/>
      <c r="J238"/>
    </row>
    <row r="239" spans="2:10" x14ac:dyDescent="0.2">
      <c r="B239" s="32"/>
      <c r="C239" s="32"/>
      <c r="D239" s="32"/>
      <c r="E239" s="32"/>
      <c r="F239" s="32"/>
      <c r="G239" s="34"/>
      <c r="J239"/>
    </row>
    <row r="240" spans="2:10" x14ac:dyDescent="0.2">
      <c r="B240" s="32"/>
      <c r="C240" s="32"/>
      <c r="D240" s="32"/>
      <c r="E240" s="32"/>
      <c r="F240" s="32"/>
      <c r="G240" s="34"/>
      <c r="J240"/>
    </row>
    <row r="241" spans="1:10" x14ac:dyDescent="0.2">
      <c r="B241" s="32"/>
      <c r="C241" s="32"/>
      <c r="D241" s="32"/>
      <c r="E241" s="32"/>
      <c r="F241" s="32"/>
      <c r="G241" s="34"/>
      <c r="J241"/>
    </row>
    <row r="242" spans="1:10" x14ac:dyDescent="0.2">
      <c r="B242" s="32"/>
      <c r="C242" s="32"/>
      <c r="D242" s="32"/>
      <c r="E242" s="32"/>
      <c r="F242" s="32"/>
      <c r="G242" s="34"/>
      <c r="J242"/>
    </row>
    <row r="243" spans="1:10" x14ac:dyDescent="0.2">
      <c r="B243" s="32"/>
      <c r="C243" s="32"/>
      <c r="D243" s="32"/>
      <c r="E243" s="32"/>
      <c r="F243" s="32"/>
      <c r="G243" s="34"/>
      <c r="H243"/>
      <c r="J243"/>
    </row>
    <row r="244" spans="1:10" x14ac:dyDescent="0.2">
      <c r="B244" s="32"/>
      <c r="C244" s="32"/>
      <c r="D244" s="32"/>
      <c r="E244" s="32"/>
      <c r="F244" s="32"/>
      <c r="G244" s="34"/>
      <c r="H244"/>
      <c r="J244"/>
    </row>
    <row r="245" spans="1:10" x14ac:dyDescent="0.2">
      <c r="B245" s="32"/>
      <c r="C245" s="32"/>
      <c r="D245" s="32"/>
      <c r="E245" s="32"/>
      <c r="F245" s="32"/>
      <c r="G245" s="34"/>
      <c r="J245"/>
    </row>
    <row r="246" spans="1:10" x14ac:dyDescent="0.2">
      <c r="B246" s="32"/>
      <c r="C246" s="32"/>
      <c r="D246" s="32"/>
      <c r="E246" s="32"/>
      <c r="F246" s="32"/>
      <c r="G246" s="34"/>
      <c r="J246"/>
    </row>
    <row r="247" spans="1:10" x14ac:dyDescent="0.2">
      <c r="B247" s="32"/>
      <c r="C247" s="32"/>
      <c r="D247" s="32"/>
      <c r="E247" s="32"/>
      <c r="F247" s="32"/>
      <c r="G247" s="34"/>
      <c r="J247"/>
    </row>
    <row r="248" spans="1:10" x14ac:dyDescent="0.2">
      <c r="B248" s="32"/>
      <c r="C248" s="32"/>
      <c r="D248" s="32"/>
      <c r="E248" s="32"/>
      <c r="F248" s="32"/>
      <c r="G248" s="34"/>
      <c r="J248" s="32"/>
    </row>
    <row r="249" spans="1:10" x14ac:dyDescent="0.2">
      <c r="B249" s="32"/>
      <c r="C249" s="32"/>
      <c r="D249" s="32"/>
      <c r="E249" s="32"/>
      <c r="F249" s="32"/>
      <c r="G249" s="34"/>
      <c r="J249" s="32"/>
    </row>
    <row r="250" spans="1:10" x14ac:dyDescent="0.2">
      <c r="B250" s="32"/>
      <c r="C250" s="32"/>
      <c r="D250" s="32"/>
      <c r="E250" s="32"/>
      <c r="F250" s="32"/>
      <c r="G250" s="34"/>
      <c r="J250" s="32"/>
    </row>
    <row r="251" spans="1:10" x14ac:dyDescent="0.2">
      <c r="A251" s="44"/>
      <c r="B251" s="32"/>
      <c r="C251" s="41"/>
      <c r="D251" s="41"/>
      <c r="E251" s="41"/>
      <c r="F251" s="41"/>
      <c r="G251" s="42"/>
      <c r="H251" s="45"/>
      <c r="I251" s="44"/>
      <c r="J251" s="41"/>
    </row>
    <row r="252" spans="1:10" x14ac:dyDescent="0.2">
      <c r="B252" s="32"/>
      <c r="C252" s="32"/>
      <c r="D252" s="32"/>
      <c r="E252" s="32"/>
      <c r="F252" s="32"/>
      <c r="G252" s="34"/>
      <c r="J252" s="32"/>
    </row>
    <row r="253" spans="1:10" x14ac:dyDescent="0.2">
      <c r="B253" s="32"/>
      <c r="C253" s="32"/>
      <c r="D253" s="32"/>
      <c r="E253" s="32"/>
      <c r="F253" s="32"/>
      <c r="G253" s="34"/>
      <c r="J253" s="32"/>
    </row>
    <row r="254" spans="1:10" x14ac:dyDescent="0.2">
      <c r="B254" s="32"/>
      <c r="C254" s="32"/>
      <c r="D254" s="32"/>
      <c r="E254" s="32"/>
      <c r="F254" s="32"/>
      <c r="G254" s="34"/>
      <c r="J254" s="32"/>
    </row>
    <row r="255" spans="1:10" x14ac:dyDescent="0.2">
      <c r="B255" s="32"/>
      <c r="C255" s="32"/>
      <c r="D255" s="32"/>
      <c r="E255" s="32"/>
      <c r="F255" s="32"/>
      <c r="G255" s="34"/>
      <c r="H255" s="32"/>
      <c r="J255" s="32"/>
    </row>
    <row r="256" spans="1:10" x14ac:dyDescent="0.2">
      <c r="B256" s="32"/>
      <c r="C256" s="32"/>
      <c r="D256" s="32"/>
      <c r="E256" s="32"/>
      <c r="F256" s="32"/>
      <c r="G256" s="34"/>
      <c r="H256" s="32"/>
      <c r="J256" s="32"/>
    </row>
    <row r="257" spans="2:10" x14ac:dyDescent="0.2">
      <c r="B257" s="32"/>
      <c r="C257" s="32"/>
      <c r="D257" s="32"/>
      <c r="E257" s="32"/>
      <c r="F257" s="32"/>
      <c r="G257" s="34"/>
      <c r="H257" s="32"/>
      <c r="J257" s="32"/>
    </row>
    <row r="258" spans="2:10" x14ac:dyDescent="0.2">
      <c r="B258" s="32"/>
      <c r="C258" s="32"/>
      <c r="D258" s="32"/>
      <c r="E258" s="32"/>
      <c r="F258" s="32"/>
      <c r="G258" s="34"/>
      <c r="H258" s="32"/>
      <c r="J258" s="32"/>
    </row>
    <row r="259" spans="2:10" x14ac:dyDescent="0.2">
      <c r="B259" s="32"/>
      <c r="C259" s="32"/>
      <c r="D259" s="32"/>
      <c r="E259" s="32"/>
      <c r="F259" s="32"/>
      <c r="G259" s="34"/>
      <c r="H259" s="32"/>
      <c r="J259" s="32"/>
    </row>
    <row r="260" spans="2:10" x14ac:dyDescent="0.2">
      <c r="B260" s="32"/>
      <c r="C260" s="32"/>
      <c r="D260" s="32"/>
      <c r="E260" s="32"/>
      <c r="F260" s="32"/>
      <c r="G260" s="34"/>
      <c r="H260" s="32"/>
      <c r="J260" s="32"/>
    </row>
    <row r="261" spans="2:10" x14ac:dyDescent="0.2">
      <c r="B261" s="32"/>
      <c r="C261" s="32"/>
      <c r="D261" s="32"/>
      <c r="E261" s="32"/>
      <c r="F261" s="32"/>
      <c r="G261" s="34"/>
      <c r="H261" s="32"/>
      <c r="J261" s="32"/>
    </row>
    <row r="262" spans="2:10" x14ac:dyDescent="0.2">
      <c r="B262" s="32"/>
      <c r="C262" s="32"/>
      <c r="D262" s="32"/>
      <c r="E262" s="32"/>
      <c r="F262" s="32"/>
      <c r="G262" s="34"/>
      <c r="H262" s="32"/>
      <c r="J262" s="32"/>
    </row>
    <row r="263" spans="2:10" x14ac:dyDescent="0.2">
      <c r="B263" s="32"/>
      <c r="C263" s="32"/>
      <c r="D263" s="32"/>
      <c r="E263" s="32"/>
      <c r="F263" s="32"/>
      <c r="G263" s="34"/>
      <c r="H263" s="32"/>
      <c r="J263" s="32"/>
    </row>
    <row r="264" spans="2:10" x14ac:dyDescent="0.2">
      <c r="B264" s="32"/>
      <c r="C264" s="32"/>
      <c r="D264" s="32"/>
      <c r="E264" s="32"/>
      <c r="F264" s="32"/>
      <c r="G264" s="34"/>
      <c r="H264" s="32"/>
      <c r="J264" s="32"/>
    </row>
    <row r="265" spans="2:10" x14ac:dyDescent="0.2">
      <c r="B265" s="32"/>
      <c r="C265" s="32"/>
      <c r="D265" s="32"/>
      <c r="E265" s="32"/>
      <c r="F265" s="32"/>
      <c r="G265" s="34"/>
      <c r="I265" s="46"/>
      <c r="J265" s="32"/>
    </row>
    <row r="266" spans="2:10" x14ac:dyDescent="0.2">
      <c r="B266" s="32"/>
      <c r="C266" s="32"/>
      <c r="D266" s="32"/>
      <c r="E266" s="32"/>
      <c r="F266" s="32"/>
      <c r="G266" s="34"/>
      <c r="I266" s="46"/>
      <c r="J266" s="32"/>
    </row>
    <row r="267" spans="2:10" x14ac:dyDescent="0.2">
      <c r="B267" s="32"/>
      <c r="C267" s="32"/>
      <c r="D267" s="32"/>
      <c r="E267" s="32"/>
      <c r="F267" s="32"/>
      <c r="G267" s="34"/>
      <c r="I267" s="46"/>
      <c r="J267" s="32"/>
    </row>
    <row r="268" spans="2:10" x14ac:dyDescent="0.2">
      <c r="B268" s="32"/>
      <c r="C268" s="32"/>
      <c r="D268" s="32"/>
      <c r="E268" s="32"/>
      <c r="F268" s="32"/>
      <c r="G268" s="34"/>
      <c r="I268" s="46"/>
      <c r="J268" s="32"/>
    </row>
    <row r="269" spans="2:10" x14ac:dyDescent="0.2">
      <c r="B269" s="32"/>
      <c r="C269" s="32"/>
      <c r="D269" s="32"/>
      <c r="E269" s="32"/>
      <c r="F269" s="32"/>
      <c r="G269" s="34"/>
      <c r="I269" s="46"/>
      <c r="J269" s="32"/>
    </row>
    <row r="270" spans="2:10" x14ac:dyDescent="0.2">
      <c r="B270" s="32"/>
      <c r="C270" s="32"/>
      <c r="D270" s="32"/>
      <c r="E270" s="32"/>
      <c r="F270" s="32"/>
      <c r="G270" s="34"/>
      <c r="I270" s="46"/>
      <c r="J270" s="32"/>
    </row>
    <row r="271" spans="2:10" x14ac:dyDescent="0.2">
      <c r="B271" s="32"/>
      <c r="C271" s="32"/>
      <c r="D271" s="32"/>
      <c r="E271" s="32"/>
      <c r="F271" s="32"/>
      <c r="G271" s="34"/>
      <c r="I271" s="46"/>
      <c r="J271" s="32"/>
    </row>
    <row r="272" spans="2:10" x14ac:dyDescent="0.2">
      <c r="B272" s="32"/>
      <c r="C272" s="32"/>
      <c r="D272" s="32"/>
      <c r="E272" s="32"/>
      <c r="F272" s="32"/>
      <c r="G272" s="34"/>
      <c r="I272" s="46"/>
      <c r="J272" s="32"/>
    </row>
    <row r="273" spans="2:10" x14ac:dyDescent="0.2">
      <c r="B273" s="32"/>
      <c r="C273" s="32"/>
      <c r="D273" s="32"/>
      <c r="E273" s="32"/>
      <c r="F273" s="32"/>
      <c r="G273" s="34"/>
      <c r="I273" s="46"/>
      <c r="J273" s="32"/>
    </row>
    <row r="274" spans="2:10" x14ac:dyDescent="0.2">
      <c r="B274" s="32"/>
      <c r="C274" s="32"/>
      <c r="D274" s="32"/>
      <c r="E274" s="32"/>
      <c r="F274" s="32"/>
      <c r="G274" s="34"/>
      <c r="I274" s="46"/>
      <c r="J274" s="32"/>
    </row>
    <row r="275" spans="2:10" x14ac:dyDescent="0.2">
      <c r="B275" s="32"/>
      <c r="C275" s="32"/>
      <c r="D275" s="32"/>
      <c r="E275" s="32"/>
      <c r="F275" s="32"/>
      <c r="G275" s="34"/>
      <c r="I275" s="46"/>
      <c r="J275" s="32"/>
    </row>
    <row r="276" spans="2:10" x14ac:dyDescent="0.2">
      <c r="B276" s="32"/>
      <c r="C276" s="32"/>
      <c r="D276" s="32"/>
      <c r="E276" s="32"/>
      <c r="F276" s="32"/>
      <c r="G276" s="34"/>
      <c r="I276" s="46"/>
      <c r="J276" s="32"/>
    </row>
    <row r="277" spans="2:10" x14ac:dyDescent="0.2">
      <c r="B277" s="32"/>
      <c r="C277" s="32"/>
      <c r="D277" s="32"/>
      <c r="E277" s="32"/>
      <c r="F277" s="32"/>
      <c r="G277" s="34"/>
      <c r="I277" s="46"/>
      <c r="J277" s="32"/>
    </row>
    <row r="278" spans="2:10" x14ac:dyDescent="0.2">
      <c r="B278" s="32"/>
      <c r="C278" s="32"/>
      <c r="D278" s="32"/>
      <c r="E278" s="32"/>
      <c r="F278" s="32"/>
      <c r="G278" s="34"/>
      <c r="I278" s="46"/>
      <c r="J278" s="32"/>
    </row>
    <row r="279" spans="2:10" x14ac:dyDescent="0.2">
      <c r="B279" s="32"/>
      <c r="C279" s="32"/>
      <c r="D279" s="32"/>
      <c r="E279" s="32"/>
      <c r="F279" s="32"/>
      <c r="G279" s="34"/>
      <c r="I279" s="46"/>
      <c r="J279" s="32"/>
    </row>
    <row r="280" spans="2:10" x14ac:dyDescent="0.2">
      <c r="B280" s="32"/>
      <c r="C280" s="32"/>
      <c r="D280" s="32"/>
      <c r="E280" s="32"/>
      <c r="F280" s="32"/>
      <c r="G280" s="34"/>
      <c r="I280" s="46"/>
      <c r="J280" s="32"/>
    </row>
    <row r="281" spans="2:10" x14ac:dyDescent="0.2">
      <c r="B281" s="32"/>
      <c r="C281" s="32"/>
      <c r="D281" s="32"/>
      <c r="E281" s="32"/>
      <c r="F281" s="32"/>
      <c r="G281" s="34"/>
      <c r="I281" s="46"/>
      <c r="J281" s="32"/>
    </row>
    <row r="282" spans="2:10" x14ac:dyDescent="0.2">
      <c r="B282" s="32"/>
      <c r="C282" s="32"/>
      <c r="D282" s="32"/>
      <c r="E282" s="32"/>
      <c r="F282" s="32"/>
      <c r="G282" s="34"/>
      <c r="H282" s="32"/>
      <c r="J282" s="32"/>
    </row>
    <row r="283" spans="2:10" x14ac:dyDescent="0.2">
      <c r="B283" s="32"/>
      <c r="C283" s="32"/>
      <c r="D283" s="32"/>
      <c r="E283" s="32"/>
      <c r="F283" s="32"/>
      <c r="G283" s="34"/>
      <c r="J283" s="32"/>
    </row>
    <row r="284" spans="2:10" x14ac:dyDescent="0.2">
      <c r="B284" s="32"/>
      <c r="C284" s="32"/>
      <c r="D284" s="32"/>
      <c r="E284" s="32"/>
      <c r="F284" s="32"/>
      <c r="G284" s="34"/>
      <c r="H284" s="32"/>
      <c r="J284" s="32"/>
    </row>
    <row r="285" spans="2:10" x14ac:dyDescent="0.2">
      <c r="B285" s="32"/>
      <c r="C285" s="32"/>
      <c r="D285" s="32"/>
      <c r="E285" s="32"/>
      <c r="F285" s="32"/>
      <c r="G285" s="34"/>
      <c r="H285" s="32"/>
      <c r="J285" s="32"/>
    </row>
    <row r="286" spans="2:10" x14ac:dyDescent="0.2">
      <c r="B286" s="32"/>
      <c r="C286" s="32"/>
      <c r="D286" s="32"/>
      <c r="E286" s="32"/>
      <c r="F286" s="32"/>
      <c r="G286" s="34"/>
    </row>
    <row r="287" spans="2:10" x14ac:dyDescent="0.2">
      <c r="B287" s="32"/>
      <c r="C287" s="32"/>
      <c r="D287" s="32"/>
      <c r="E287" s="32"/>
      <c r="F287" s="32"/>
      <c r="G287" s="34"/>
    </row>
    <row r="288" spans="2:10" x14ac:dyDescent="0.2">
      <c r="B288" s="32"/>
      <c r="C288" s="32"/>
      <c r="D288" s="32"/>
      <c r="E288" s="32"/>
      <c r="F288" s="32"/>
      <c r="G288" s="34"/>
    </row>
    <row r="289" spans="2:10" x14ac:dyDescent="0.2">
      <c r="B289" s="32"/>
      <c r="C289" s="32"/>
      <c r="D289" s="32"/>
      <c r="E289" s="32"/>
      <c r="F289" s="32"/>
      <c r="G289" s="34"/>
      <c r="H289" s="32"/>
    </row>
    <row r="290" spans="2:10" x14ac:dyDescent="0.2">
      <c r="B290" s="32"/>
      <c r="C290" s="32"/>
      <c r="D290" s="32"/>
      <c r="E290" s="32"/>
      <c r="F290" s="32"/>
      <c r="G290" s="34"/>
      <c r="H290" s="32"/>
    </row>
    <row r="291" spans="2:10" x14ac:dyDescent="0.2">
      <c r="B291" s="32"/>
      <c r="C291" s="32"/>
      <c r="D291" s="32"/>
      <c r="E291" s="32"/>
      <c r="F291" s="32"/>
      <c r="G291" s="34"/>
      <c r="H291" s="32"/>
    </row>
    <row r="292" spans="2:10" x14ac:dyDescent="0.2">
      <c r="B292" s="32"/>
      <c r="C292" s="32"/>
      <c r="D292" s="32"/>
      <c r="E292" s="32"/>
      <c r="F292" s="32"/>
      <c r="G292" s="34"/>
      <c r="H292" s="32"/>
    </row>
    <row r="293" spans="2:10" x14ac:dyDescent="0.2">
      <c r="B293" s="32"/>
      <c r="C293" s="32"/>
      <c r="D293" s="32"/>
      <c r="E293" s="32"/>
      <c r="F293" s="32"/>
      <c r="G293" s="34"/>
      <c r="H293" s="32"/>
    </row>
    <row r="294" spans="2:10" x14ac:dyDescent="0.2">
      <c r="B294" s="32"/>
      <c r="C294" s="32"/>
      <c r="D294" s="32"/>
      <c r="E294" s="32"/>
      <c r="F294" s="32"/>
      <c r="G294" s="34"/>
      <c r="H294" s="32"/>
    </row>
    <row r="295" spans="2:10" x14ac:dyDescent="0.2">
      <c r="B295" s="32"/>
      <c r="C295" s="32"/>
      <c r="D295" s="32"/>
      <c r="E295" s="32"/>
      <c r="F295" s="32"/>
      <c r="G295" s="34"/>
      <c r="H295"/>
      <c r="J295"/>
    </row>
    <row r="296" spans="2:10" x14ac:dyDescent="0.2">
      <c r="B296" s="32"/>
      <c r="C296" s="32"/>
      <c r="D296" s="32"/>
      <c r="E296" s="32"/>
      <c r="F296" s="32"/>
      <c r="G296" s="34"/>
      <c r="H296" s="32"/>
    </row>
    <row r="297" spans="2:10" x14ac:dyDescent="0.2">
      <c r="B297" s="32"/>
      <c r="C297" s="32"/>
      <c r="D297" s="32"/>
      <c r="E297" s="32"/>
      <c r="F297" s="32"/>
      <c r="G297" s="34"/>
      <c r="H297" s="32"/>
    </row>
    <row r="298" spans="2:10" x14ac:dyDescent="0.2">
      <c r="B298" s="32"/>
      <c r="C298" s="32"/>
      <c r="D298" s="32"/>
      <c r="E298" s="32"/>
      <c r="F298" s="32"/>
      <c r="G298" s="34"/>
      <c r="H298" s="32"/>
    </row>
    <row r="299" spans="2:10" x14ac:dyDescent="0.2">
      <c r="B299" s="32"/>
      <c r="C299" s="32"/>
      <c r="D299" s="32"/>
      <c r="E299" s="32"/>
      <c r="F299" s="32"/>
      <c r="G299" s="34"/>
      <c r="H299" s="32"/>
    </row>
    <row r="300" spans="2:10" x14ac:dyDescent="0.2">
      <c r="B300" s="32"/>
      <c r="C300" s="32"/>
      <c r="D300" s="32"/>
      <c r="E300" s="32"/>
      <c r="F300" s="32"/>
      <c r="G300" s="34"/>
      <c r="H300" s="32"/>
    </row>
    <row r="301" spans="2:10" x14ac:dyDescent="0.2">
      <c r="B301" s="32"/>
      <c r="C301" s="32"/>
      <c r="D301" s="32"/>
      <c r="E301" s="32"/>
      <c r="F301" s="32"/>
      <c r="G301" s="34"/>
      <c r="H301" s="32"/>
    </row>
    <row r="302" spans="2:10" x14ac:dyDescent="0.2">
      <c r="B302" s="32"/>
      <c r="C302" s="32"/>
      <c r="D302" s="32"/>
      <c r="E302" s="32"/>
      <c r="F302" s="32"/>
      <c r="G302" s="34"/>
      <c r="H302" s="32"/>
    </row>
    <row r="303" spans="2:10" x14ac:dyDescent="0.2">
      <c r="B303" s="32"/>
      <c r="C303" s="32"/>
      <c r="D303" s="32"/>
      <c r="E303" s="32"/>
      <c r="F303" s="32"/>
      <c r="G303" s="34"/>
      <c r="H303" s="32"/>
    </row>
    <row r="304" spans="2:10" x14ac:dyDescent="0.2">
      <c r="B304" s="32"/>
      <c r="C304" s="32"/>
      <c r="D304" s="32"/>
      <c r="E304" s="32"/>
      <c r="F304" s="32"/>
      <c r="G304" s="34"/>
      <c r="H304" s="32"/>
    </row>
    <row r="305" spans="2:10" x14ac:dyDescent="0.2">
      <c r="B305" s="32"/>
      <c r="C305" s="32"/>
      <c r="D305" s="32"/>
      <c r="E305" s="32"/>
      <c r="F305" s="32"/>
      <c r="G305" s="34"/>
      <c r="H305" s="32"/>
    </row>
    <row r="306" spans="2:10" x14ac:dyDescent="0.2">
      <c r="B306" s="32"/>
      <c r="C306" s="32"/>
      <c r="D306" s="32"/>
      <c r="E306" s="32"/>
      <c r="F306" s="32"/>
      <c r="G306" s="34"/>
      <c r="H306" s="32"/>
    </row>
    <row r="307" spans="2:10" x14ac:dyDescent="0.2">
      <c r="B307" s="32"/>
      <c r="C307" s="32"/>
      <c r="D307" s="32"/>
      <c r="E307" s="32"/>
      <c r="F307" s="32"/>
      <c r="G307" s="34"/>
      <c r="H307" s="32"/>
    </row>
    <row r="308" spans="2:10" x14ac:dyDescent="0.2">
      <c r="B308" s="32"/>
      <c r="C308" s="32"/>
      <c r="D308" s="32"/>
      <c r="E308" s="32"/>
      <c r="F308" s="32"/>
      <c r="G308" s="34"/>
      <c r="H308" s="32"/>
    </row>
    <row r="309" spans="2:10" x14ac:dyDescent="0.2">
      <c r="B309" s="32"/>
      <c r="C309" s="32"/>
      <c r="D309" s="32"/>
      <c r="E309" s="32"/>
      <c r="F309" s="32"/>
      <c r="G309" s="34"/>
      <c r="J309" s="32"/>
    </row>
    <row r="310" spans="2:10" x14ac:dyDescent="0.2">
      <c r="B310" s="32"/>
      <c r="C310" s="32"/>
      <c r="D310" s="32"/>
      <c r="E310" s="32"/>
      <c r="F310" s="32"/>
      <c r="G310" s="34"/>
      <c r="J310" s="32"/>
    </row>
    <row r="311" spans="2:10" x14ac:dyDescent="0.2">
      <c r="B311" s="32"/>
      <c r="C311" s="32"/>
      <c r="D311" s="32"/>
      <c r="E311" s="32"/>
      <c r="F311" s="32"/>
      <c r="G311" s="34"/>
      <c r="J311" s="32"/>
    </row>
    <row r="312" spans="2:10" x14ac:dyDescent="0.2">
      <c r="B312" s="32"/>
      <c r="C312" s="32"/>
      <c r="D312" s="32"/>
      <c r="E312" s="32"/>
      <c r="F312" s="32"/>
      <c r="G312" s="34"/>
      <c r="H312" s="32"/>
      <c r="J312" s="32"/>
    </row>
    <row r="313" spans="2:10" x14ac:dyDescent="0.2">
      <c r="B313" s="32"/>
      <c r="C313" s="32"/>
      <c r="D313" s="32"/>
      <c r="E313" s="32"/>
      <c r="F313" s="32"/>
      <c r="G313" s="34"/>
      <c r="H313" s="32"/>
      <c r="J313" s="32"/>
    </row>
    <row r="314" spans="2:10" x14ac:dyDescent="0.2">
      <c r="B314" s="32"/>
      <c r="C314" s="32"/>
      <c r="D314" s="32"/>
      <c r="E314" s="32"/>
      <c r="F314" s="32"/>
      <c r="G314" s="34"/>
      <c r="H314" s="32"/>
      <c r="J314" s="32"/>
    </row>
    <row r="315" spans="2:10" x14ac:dyDescent="0.2">
      <c r="B315" s="32"/>
      <c r="C315" s="32"/>
      <c r="D315" s="32"/>
      <c r="E315" s="32"/>
      <c r="F315" s="32"/>
      <c r="G315" s="34"/>
      <c r="H315" s="32"/>
      <c r="J315" s="32"/>
    </row>
    <row r="316" spans="2:10" x14ac:dyDescent="0.2">
      <c r="B316" s="32"/>
      <c r="C316" s="32"/>
      <c r="D316" s="32"/>
      <c r="E316" s="32"/>
      <c r="F316" s="32"/>
      <c r="G316" s="34"/>
      <c r="H316" s="32"/>
      <c r="J316" s="32"/>
    </row>
    <row r="317" spans="2:10" x14ac:dyDescent="0.2">
      <c r="B317" s="32"/>
      <c r="C317" s="32"/>
      <c r="D317" s="32"/>
      <c r="E317" s="32"/>
      <c r="F317" s="32"/>
      <c r="G317" s="34"/>
      <c r="H317" s="32"/>
      <c r="J317" s="32"/>
    </row>
    <row r="318" spans="2:10" x14ac:dyDescent="0.2">
      <c r="B318" s="32"/>
      <c r="C318" s="32"/>
      <c r="D318" s="32"/>
      <c r="E318" s="32"/>
      <c r="F318" s="32"/>
      <c r="G318" s="34"/>
      <c r="H318" s="32"/>
      <c r="J318" s="32"/>
    </row>
    <row r="319" spans="2:10" x14ac:dyDescent="0.2">
      <c r="B319" s="32"/>
      <c r="C319" s="32"/>
      <c r="D319" s="32"/>
      <c r="E319" s="32"/>
      <c r="F319" s="32"/>
      <c r="G319" s="34"/>
      <c r="H319" s="32"/>
      <c r="J319" s="32"/>
    </row>
    <row r="320" spans="2:10" x14ac:dyDescent="0.2">
      <c r="B320" s="32"/>
      <c r="C320" s="32"/>
      <c r="D320" s="32"/>
      <c r="E320" s="32"/>
      <c r="F320" s="32"/>
      <c r="G320" s="34"/>
      <c r="H320" s="32"/>
      <c r="J320" s="32"/>
    </row>
    <row r="321" spans="2:10" x14ac:dyDescent="0.2">
      <c r="B321" s="32"/>
      <c r="C321" s="32"/>
      <c r="D321" s="32"/>
      <c r="E321" s="32"/>
      <c r="F321" s="32"/>
      <c r="G321" s="34"/>
      <c r="H321" s="32"/>
      <c r="J321" s="32"/>
    </row>
    <row r="322" spans="2:10" x14ac:dyDescent="0.2">
      <c r="B322" s="32"/>
      <c r="C322" s="32"/>
      <c r="D322" s="32"/>
      <c r="E322" s="32"/>
      <c r="F322" s="32"/>
      <c r="G322" s="34"/>
      <c r="H322" s="32"/>
      <c r="J322" s="32"/>
    </row>
    <row r="323" spans="2:10" x14ac:dyDescent="0.2">
      <c r="B323" s="32"/>
      <c r="C323" s="32"/>
      <c r="D323" s="32"/>
      <c r="E323" s="32"/>
      <c r="F323" s="32"/>
      <c r="G323" s="34"/>
      <c r="J323" s="32"/>
    </row>
    <row r="324" spans="2:10" x14ac:dyDescent="0.2">
      <c r="B324" s="32"/>
      <c r="C324" s="32"/>
      <c r="D324" s="32"/>
      <c r="E324" s="32"/>
      <c r="F324" s="32"/>
      <c r="G324" s="34"/>
      <c r="J324" s="32"/>
    </row>
    <row r="325" spans="2:10" x14ac:dyDescent="0.2">
      <c r="B325" s="32"/>
      <c r="C325" s="32"/>
      <c r="D325" s="32"/>
      <c r="E325" s="32"/>
      <c r="F325" s="32"/>
      <c r="G325" s="34"/>
      <c r="J325" s="32"/>
    </row>
    <row r="326" spans="2:10" x14ac:dyDescent="0.2">
      <c r="B326" s="32"/>
      <c r="C326" s="32"/>
      <c r="D326" s="32"/>
      <c r="E326" s="32"/>
      <c r="F326" s="32"/>
      <c r="G326" s="34"/>
      <c r="H326" s="32"/>
      <c r="J326" s="32"/>
    </row>
    <row r="327" spans="2:10" x14ac:dyDescent="0.2">
      <c r="B327" s="32"/>
      <c r="C327" s="32"/>
      <c r="D327" s="32"/>
      <c r="E327" s="32"/>
      <c r="F327" s="32"/>
      <c r="G327" s="34"/>
      <c r="H327" s="32"/>
      <c r="J327" s="32"/>
    </row>
    <row r="328" spans="2:10" x14ac:dyDescent="0.2">
      <c r="B328" s="32"/>
      <c r="C328" s="32"/>
      <c r="D328" s="32"/>
      <c r="E328" s="32"/>
      <c r="F328" s="32"/>
      <c r="G328" s="34"/>
      <c r="H328" s="32"/>
      <c r="J328" s="32"/>
    </row>
    <row r="329" spans="2:10" x14ac:dyDescent="0.2">
      <c r="B329" s="32"/>
      <c r="C329" s="32"/>
      <c r="D329" s="32"/>
      <c r="E329" s="32"/>
      <c r="F329" s="32"/>
      <c r="G329" s="34"/>
      <c r="H329" s="32"/>
      <c r="J329" s="32"/>
    </row>
    <row r="330" spans="2:10" x14ac:dyDescent="0.2">
      <c r="B330" s="32"/>
      <c r="C330" s="32"/>
      <c r="D330" s="32"/>
      <c r="E330" s="32"/>
      <c r="F330" s="32"/>
      <c r="G330" s="34"/>
      <c r="H330" s="32"/>
      <c r="J330" s="32"/>
    </row>
    <row r="331" spans="2:10" x14ac:dyDescent="0.2">
      <c r="B331" s="32"/>
      <c r="C331" s="32"/>
      <c r="D331" s="32"/>
      <c r="E331" s="32"/>
      <c r="F331" s="32"/>
      <c r="G331" s="34"/>
      <c r="H331" s="32"/>
      <c r="J331" s="32"/>
    </row>
    <row r="332" spans="2:10" x14ac:dyDescent="0.2">
      <c r="B332" s="32"/>
      <c r="C332" s="32"/>
      <c r="D332" s="32"/>
      <c r="E332" s="32"/>
      <c r="F332" s="32"/>
      <c r="G332" s="34"/>
      <c r="H332" s="32"/>
      <c r="J332" s="32"/>
    </row>
    <row r="333" spans="2:10" x14ac:dyDescent="0.2">
      <c r="B333" s="32"/>
      <c r="C333" s="32"/>
      <c r="D333" s="32"/>
      <c r="E333" s="32"/>
      <c r="F333" s="32"/>
      <c r="G333" s="34"/>
      <c r="H333" s="32"/>
      <c r="J333" s="32"/>
    </row>
    <row r="334" spans="2:10" x14ac:dyDescent="0.2">
      <c r="B334" s="32"/>
      <c r="C334" s="32"/>
      <c r="D334" s="32"/>
      <c r="E334" s="32"/>
      <c r="F334" s="32"/>
      <c r="G334" s="34"/>
      <c r="H334" s="32"/>
      <c r="J334" s="32"/>
    </row>
    <row r="335" spans="2:10" x14ac:dyDescent="0.2">
      <c r="B335" s="32"/>
      <c r="C335" s="32"/>
      <c r="D335" s="32"/>
      <c r="E335" s="32"/>
      <c r="F335" s="32"/>
      <c r="G335" s="34"/>
      <c r="J335"/>
    </row>
    <row r="336" spans="2:10" x14ac:dyDescent="0.2">
      <c r="B336" s="32"/>
      <c r="C336" s="32"/>
      <c r="D336" s="32"/>
      <c r="E336" s="32"/>
      <c r="F336" s="32"/>
      <c r="G336" s="34"/>
      <c r="H336"/>
      <c r="J336"/>
    </row>
    <row r="337" spans="1:10" x14ac:dyDescent="0.2">
      <c r="B337" s="32"/>
      <c r="C337" s="32"/>
      <c r="D337" s="32"/>
      <c r="E337" s="32"/>
      <c r="F337" s="32"/>
      <c r="G337" s="34"/>
      <c r="H337"/>
      <c r="J337"/>
    </row>
    <row r="338" spans="1:10" x14ac:dyDescent="0.2">
      <c r="A338" s="44"/>
      <c r="B338" s="32"/>
      <c r="C338" s="41"/>
      <c r="D338" s="41"/>
      <c r="E338" s="41"/>
      <c r="F338" s="41"/>
      <c r="G338" s="42"/>
      <c r="H338" s="47"/>
      <c r="I338" s="48"/>
      <c r="J338"/>
    </row>
    <row r="339" spans="1:10" x14ac:dyDescent="0.2">
      <c r="A339" s="44"/>
      <c r="B339" s="32"/>
      <c r="C339" s="41"/>
      <c r="D339" s="41"/>
      <c r="E339" s="41"/>
      <c r="F339" s="41"/>
      <c r="G339" s="42"/>
      <c r="H339" s="47"/>
      <c r="I339" s="48"/>
      <c r="J339"/>
    </row>
    <row r="340" spans="1:10" x14ac:dyDescent="0.2">
      <c r="A340" s="44"/>
      <c r="B340" s="32"/>
      <c r="C340" s="41"/>
      <c r="D340" s="41"/>
      <c r="E340" s="41"/>
      <c r="F340" s="41"/>
      <c r="G340" s="42"/>
      <c r="H340" s="47"/>
      <c r="I340" s="48"/>
      <c r="J340"/>
    </row>
    <row r="341" spans="1:10" x14ac:dyDescent="0.2">
      <c r="A341" s="44"/>
      <c r="B341" s="32"/>
      <c r="C341" s="41"/>
      <c r="D341" s="41"/>
      <c r="E341" s="41"/>
      <c r="F341" s="41"/>
      <c r="G341" s="42"/>
      <c r="H341" s="47"/>
      <c r="I341" s="48"/>
      <c r="J341"/>
    </row>
    <row r="342" spans="1:10" x14ac:dyDescent="0.2">
      <c r="A342" s="44"/>
      <c r="B342" s="32"/>
      <c r="C342" s="41"/>
      <c r="D342" s="41"/>
      <c r="E342" s="41"/>
      <c r="F342" s="41"/>
      <c r="G342" s="42"/>
      <c r="H342" s="47"/>
      <c r="I342" s="48"/>
      <c r="J342"/>
    </row>
    <row r="343" spans="1:10" x14ac:dyDescent="0.2">
      <c r="A343" s="44"/>
      <c r="B343" s="32"/>
      <c r="C343" s="41"/>
      <c r="D343" s="41"/>
      <c r="E343" s="41"/>
      <c r="F343" s="41"/>
      <c r="G343" s="42"/>
      <c r="H343" s="45"/>
      <c r="I343" s="44"/>
      <c r="J343"/>
    </row>
    <row r="344" spans="1:10" x14ac:dyDescent="0.2">
      <c r="A344" s="44"/>
      <c r="B344" s="32"/>
      <c r="C344" s="41"/>
      <c r="D344" s="41"/>
      <c r="E344" s="41"/>
      <c r="F344" s="41"/>
      <c r="G344" s="42"/>
      <c r="H344" s="47"/>
      <c r="I344" s="48"/>
      <c r="J344"/>
    </row>
    <row r="345" spans="1:10" x14ac:dyDescent="0.2">
      <c r="B345" s="32"/>
      <c r="C345" s="32"/>
      <c r="D345" s="32"/>
      <c r="E345" s="32"/>
      <c r="F345" s="32"/>
      <c r="G345" s="34"/>
      <c r="J345"/>
    </row>
    <row r="346" spans="1:10" x14ac:dyDescent="0.2">
      <c r="B346" s="32"/>
      <c r="C346" s="32"/>
      <c r="D346" s="32"/>
      <c r="E346" s="32"/>
      <c r="F346" s="32"/>
      <c r="G346" s="34"/>
      <c r="J346"/>
    </row>
    <row r="347" spans="1:10" x14ac:dyDescent="0.2">
      <c r="B347" s="32"/>
      <c r="C347" s="32"/>
      <c r="D347" s="32"/>
      <c r="E347" s="32"/>
      <c r="F347" s="32"/>
      <c r="G347" s="34"/>
      <c r="J347"/>
    </row>
    <row r="348" spans="1:10" x14ac:dyDescent="0.2">
      <c r="B348" s="32"/>
      <c r="C348" s="32"/>
      <c r="D348" s="32"/>
      <c r="E348" s="32"/>
      <c r="F348" s="32"/>
      <c r="G348" s="34"/>
      <c r="J348"/>
    </row>
    <row r="349" spans="1:10" x14ac:dyDescent="0.2">
      <c r="B349" s="32"/>
      <c r="C349" s="32"/>
      <c r="D349" s="32"/>
      <c r="E349" s="32"/>
      <c r="F349" s="32"/>
      <c r="G349" s="34"/>
      <c r="J349"/>
    </row>
    <row r="350" spans="1:10" x14ac:dyDescent="0.2">
      <c r="B350" s="32"/>
      <c r="C350" s="32"/>
      <c r="D350" s="32"/>
      <c r="E350" s="32"/>
      <c r="F350" s="32"/>
      <c r="G350" s="34"/>
      <c r="J350"/>
    </row>
    <row r="351" spans="1:10" x14ac:dyDescent="0.2">
      <c r="B351" s="32"/>
      <c r="C351" s="32"/>
      <c r="D351" s="32"/>
      <c r="E351" s="32"/>
      <c r="F351" s="32"/>
      <c r="G351" s="34"/>
      <c r="J351"/>
    </row>
    <row r="352" spans="1:10" x14ac:dyDescent="0.2">
      <c r="B352" s="32"/>
      <c r="C352" s="32"/>
      <c r="D352" s="32"/>
      <c r="E352" s="32"/>
      <c r="F352" s="32"/>
      <c r="G352" s="34"/>
      <c r="J352"/>
    </row>
    <row r="353" spans="1:10" x14ac:dyDescent="0.2">
      <c r="B353" s="32"/>
      <c r="C353" s="32"/>
      <c r="D353" s="32"/>
      <c r="E353" s="32"/>
      <c r="F353" s="32"/>
      <c r="G353" s="34"/>
      <c r="J353"/>
    </row>
    <row r="354" spans="1:10" x14ac:dyDescent="0.2">
      <c r="B354" s="32"/>
      <c r="C354" s="32"/>
      <c r="D354" s="32"/>
      <c r="E354" s="32"/>
      <c r="F354" s="32"/>
      <c r="G354" s="34"/>
      <c r="J354"/>
    </row>
    <row r="355" spans="1:10" x14ac:dyDescent="0.2">
      <c r="B355" s="32"/>
      <c r="C355" s="32"/>
      <c r="D355" s="32"/>
      <c r="E355" s="32"/>
      <c r="F355" s="32"/>
      <c r="G355" s="34"/>
      <c r="J355"/>
    </row>
    <row r="356" spans="1:10" x14ac:dyDescent="0.2">
      <c r="B356" s="32"/>
      <c r="C356" s="32"/>
      <c r="D356" s="32"/>
      <c r="E356" s="32"/>
      <c r="F356" s="32"/>
      <c r="G356" s="34"/>
      <c r="J356"/>
    </row>
    <row r="357" spans="1:10" x14ac:dyDescent="0.2">
      <c r="B357" s="32"/>
      <c r="C357" s="32"/>
      <c r="D357" s="32"/>
      <c r="E357" s="32"/>
      <c r="F357" s="32"/>
      <c r="G357" s="34"/>
      <c r="J357"/>
    </row>
    <row r="358" spans="1:10" x14ac:dyDescent="0.2">
      <c r="B358" s="32"/>
      <c r="C358" s="32"/>
      <c r="D358" s="32"/>
      <c r="E358" s="32"/>
      <c r="F358" s="32"/>
      <c r="G358" s="34"/>
      <c r="J358"/>
    </row>
    <row r="359" spans="1:10" x14ac:dyDescent="0.2">
      <c r="B359" s="32"/>
      <c r="C359" s="32"/>
      <c r="D359" s="32"/>
      <c r="E359" s="32"/>
      <c r="F359" s="32"/>
      <c r="G359" s="34"/>
      <c r="J359"/>
    </row>
    <row r="360" spans="1:10" x14ac:dyDescent="0.2">
      <c r="B360" s="32"/>
      <c r="C360" s="32"/>
      <c r="D360" s="32"/>
      <c r="E360" s="32"/>
      <c r="F360" s="32"/>
      <c r="G360" s="34"/>
      <c r="J360"/>
    </row>
    <row r="361" spans="1:10" x14ac:dyDescent="0.2">
      <c r="B361" s="32"/>
      <c r="C361" s="32"/>
      <c r="D361" s="32"/>
      <c r="E361" s="32"/>
      <c r="F361" s="32"/>
      <c r="G361" s="34"/>
      <c r="J361"/>
    </row>
    <row r="362" spans="1:10" x14ac:dyDescent="0.2">
      <c r="B362" s="32"/>
      <c r="C362" s="32"/>
      <c r="D362" s="32"/>
      <c r="E362" s="32"/>
      <c r="F362" s="32"/>
      <c r="G362" s="34"/>
      <c r="J362"/>
    </row>
    <row r="363" spans="1:10" x14ac:dyDescent="0.2">
      <c r="B363" s="32"/>
      <c r="C363" s="32"/>
      <c r="D363" s="32"/>
      <c r="E363" s="32"/>
      <c r="F363" s="32"/>
      <c r="G363" s="34"/>
      <c r="J363"/>
    </row>
    <row r="364" spans="1:10" x14ac:dyDescent="0.2">
      <c r="B364" s="32"/>
      <c r="C364" s="32"/>
      <c r="D364" s="32"/>
      <c r="E364" s="32"/>
      <c r="F364" s="32"/>
      <c r="G364" s="34"/>
      <c r="J364"/>
    </row>
    <row r="365" spans="1:10" x14ac:dyDescent="0.2">
      <c r="A365" s="44"/>
      <c r="B365" s="32"/>
      <c r="C365" s="41"/>
      <c r="D365" s="41"/>
      <c r="E365" s="41"/>
      <c r="F365" s="41"/>
      <c r="G365" s="42"/>
      <c r="H365" s="45"/>
      <c r="I365" s="44"/>
      <c r="J365"/>
    </row>
    <row r="366" spans="1:10" x14ac:dyDescent="0.2">
      <c r="B366" s="32"/>
      <c r="C366" s="32"/>
      <c r="D366" s="32"/>
      <c r="E366" s="32"/>
      <c r="F366" s="32"/>
      <c r="G366" s="34"/>
      <c r="J366"/>
    </row>
    <row r="367" spans="1:10" x14ac:dyDescent="0.2">
      <c r="B367" s="32"/>
      <c r="C367" s="32"/>
      <c r="D367" s="32"/>
      <c r="E367" s="32"/>
      <c r="F367" s="32"/>
      <c r="G367" s="34"/>
      <c r="J367"/>
    </row>
    <row r="368" spans="1:10" x14ac:dyDescent="0.2">
      <c r="B368" s="32"/>
      <c r="C368" s="32"/>
      <c r="D368" s="32"/>
      <c r="E368" s="32"/>
      <c r="F368" s="32"/>
      <c r="G368" s="34"/>
      <c r="J368"/>
    </row>
    <row r="369" spans="1:11" x14ac:dyDescent="0.2">
      <c r="A369" s="44"/>
      <c r="B369" s="32"/>
      <c r="C369" s="41"/>
      <c r="D369" s="41"/>
      <c r="E369" s="41"/>
      <c r="F369" s="41"/>
      <c r="G369" s="42"/>
      <c r="H369" s="45"/>
      <c r="I369" s="44"/>
      <c r="J369" s="45"/>
      <c r="K369" s="44"/>
    </row>
    <row r="370" spans="1:11" x14ac:dyDescent="0.2">
      <c r="B370" s="32"/>
      <c r="C370" s="32"/>
      <c r="D370" s="32"/>
      <c r="E370" s="32"/>
      <c r="F370" s="32"/>
      <c r="G370" s="34"/>
    </row>
    <row r="371" spans="1:11" x14ac:dyDescent="0.2">
      <c r="B371" s="32"/>
      <c r="C371" s="32"/>
      <c r="D371" s="32"/>
      <c r="E371" s="32"/>
      <c r="F371" s="32"/>
      <c r="G371" s="34"/>
      <c r="J371"/>
    </row>
    <row r="372" spans="1:11" x14ac:dyDescent="0.2">
      <c r="B372" s="32"/>
      <c r="C372" s="32"/>
      <c r="D372" s="32"/>
      <c r="E372" s="32"/>
      <c r="F372" s="32"/>
      <c r="G372" s="34"/>
      <c r="J372"/>
    </row>
    <row r="373" spans="1:11" x14ac:dyDescent="0.2">
      <c r="B373" s="32"/>
      <c r="C373" s="32"/>
      <c r="D373" s="32"/>
      <c r="E373" s="32"/>
      <c r="F373" s="32"/>
      <c r="G373" s="34"/>
      <c r="J373"/>
    </row>
    <row r="374" spans="1:11" x14ac:dyDescent="0.2">
      <c r="B374" s="32"/>
      <c r="C374" s="32"/>
      <c r="D374" s="32"/>
      <c r="E374" s="32"/>
      <c r="F374" s="32"/>
      <c r="G374" s="34"/>
      <c r="J374"/>
    </row>
    <row r="375" spans="1:11" x14ac:dyDescent="0.2">
      <c r="B375" s="32"/>
      <c r="C375" s="32"/>
      <c r="D375" s="32"/>
      <c r="E375" s="32"/>
      <c r="F375" s="32"/>
      <c r="G375" s="34"/>
      <c r="J375"/>
    </row>
    <row r="376" spans="1:11" x14ac:dyDescent="0.2">
      <c r="B376" s="32"/>
      <c r="C376" s="32"/>
      <c r="D376" s="32"/>
      <c r="E376" s="32"/>
      <c r="F376" s="32"/>
      <c r="G376" s="34"/>
      <c r="J376"/>
    </row>
    <row r="377" spans="1:11" x14ac:dyDescent="0.2">
      <c r="B377" s="32"/>
      <c r="C377" s="32"/>
      <c r="D377" s="32"/>
      <c r="E377" s="32"/>
      <c r="F377" s="32"/>
      <c r="G377" s="34"/>
      <c r="J377"/>
    </row>
    <row r="378" spans="1:11" x14ac:dyDescent="0.2">
      <c r="B378" s="32"/>
      <c r="C378" s="32"/>
      <c r="D378" s="32"/>
      <c r="E378" s="32"/>
      <c r="F378" s="32"/>
      <c r="G378" s="34"/>
      <c r="J378"/>
    </row>
    <row r="379" spans="1:11" x14ac:dyDescent="0.2">
      <c r="B379" s="32"/>
      <c r="C379" s="32"/>
      <c r="D379" s="32"/>
      <c r="E379" s="32"/>
      <c r="F379" s="32"/>
      <c r="G379" s="34"/>
      <c r="J379"/>
    </row>
    <row r="380" spans="1:11" x14ac:dyDescent="0.2">
      <c r="B380" s="32"/>
      <c r="C380" s="32"/>
      <c r="D380" s="32"/>
      <c r="E380" s="32"/>
      <c r="F380" s="32"/>
      <c r="G380" s="34"/>
      <c r="J380"/>
    </row>
    <row r="381" spans="1:11" x14ac:dyDescent="0.2">
      <c r="B381" s="32"/>
      <c r="C381" s="32"/>
      <c r="D381" s="32"/>
      <c r="E381" s="32"/>
      <c r="F381" s="32"/>
      <c r="G381" s="34"/>
      <c r="J381"/>
    </row>
    <row r="382" spans="1:11" x14ac:dyDescent="0.2">
      <c r="B382" s="32"/>
      <c r="C382" s="32"/>
      <c r="D382" s="32"/>
      <c r="E382" s="32"/>
      <c r="F382" s="32"/>
      <c r="G382" s="34"/>
      <c r="J382"/>
    </row>
    <row r="383" spans="1:11" x14ac:dyDescent="0.2">
      <c r="B383" s="32"/>
      <c r="C383" s="32"/>
      <c r="D383" s="32"/>
      <c r="E383" s="32"/>
      <c r="F383" s="32"/>
      <c r="G383" s="34"/>
      <c r="J383"/>
    </row>
    <row r="384" spans="1:11" x14ac:dyDescent="0.2">
      <c r="B384" s="32"/>
      <c r="C384" s="32"/>
      <c r="D384" s="32"/>
      <c r="E384" s="32"/>
      <c r="F384" s="32"/>
      <c r="G384" s="34"/>
      <c r="J384"/>
    </row>
    <row r="385" spans="2:10" x14ac:dyDescent="0.2">
      <c r="B385" s="32"/>
      <c r="C385" s="32"/>
      <c r="D385" s="32"/>
      <c r="E385" s="32"/>
      <c r="F385" s="32"/>
      <c r="G385" s="34"/>
      <c r="J385"/>
    </row>
    <row r="386" spans="2:10" x14ac:dyDescent="0.2">
      <c r="B386" s="32"/>
      <c r="C386" s="32"/>
      <c r="D386" s="32"/>
      <c r="E386" s="32"/>
      <c r="F386" s="32"/>
      <c r="G386" s="34"/>
      <c r="J386"/>
    </row>
    <row r="387" spans="2:10" x14ac:dyDescent="0.2">
      <c r="B387" s="32"/>
      <c r="C387" s="32"/>
      <c r="D387" s="32"/>
      <c r="E387" s="32"/>
      <c r="F387" s="32"/>
      <c r="G387" s="34"/>
      <c r="H387"/>
      <c r="J387"/>
    </row>
    <row r="388" spans="2:10" x14ac:dyDescent="0.2">
      <c r="B388" s="32"/>
      <c r="C388" s="32"/>
      <c r="D388" s="32"/>
      <c r="E388" s="32"/>
      <c r="F388" s="32"/>
      <c r="G388" s="34"/>
      <c r="H388"/>
      <c r="J388"/>
    </row>
    <row r="389" spans="2:10" x14ac:dyDescent="0.2">
      <c r="B389" s="32"/>
      <c r="C389" s="32"/>
      <c r="D389" s="32"/>
      <c r="E389" s="32"/>
      <c r="F389" s="32"/>
      <c r="G389" s="34"/>
      <c r="H389"/>
      <c r="J389"/>
    </row>
    <row r="390" spans="2:10" x14ac:dyDescent="0.2">
      <c r="B390" s="32"/>
      <c r="C390" s="32"/>
      <c r="D390" s="32"/>
      <c r="E390" s="32"/>
      <c r="F390" s="32"/>
      <c r="G390" s="34"/>
      <c r="H390"/>
      <c r="J390"/>
    </row>
    <row r="391" spans="2:10" x14ac:dyDescent="0.2">
      <c r="B391" s="32"/>
      <c r="C391" s="32"/>
      <c r="D391" s="32"/>
      <c r="E391" s="32"/>
      <c r="F391" s="32"/>
      <c r="G391" s="34"/>
      <c r="H391"/>
      <c r="J391"/>
    </row>
    <row r="392" spans="2:10" x14ac:dyDescent="0.2">
      <c r="B392" s="32"/>
      <c r="C392" s="32"/>
      <c r="D392" s="32"/>
      <c r="E392" s="32"/>
      <c r="F392" s="32"/>
      <c r="G392" s="34"/>
      <c r="H392"/>
      <c r="J392"/>
    </row>
    <row r="393" spans="2:10" x14ac:dyDescent="0.2">
      <c r="B393" s="32"/>
      <c r="C393" s="32"/>
      <c r="D393" s="32"/>
      <c r="E393" s="32"/>
      <c r="F393" s="32"/>
      <c r="G393" s="34"/>
      <c r="H393"/>
      <c r="J393"/>
    </row>
    <row r="394" spans="2:10" x14ac:dyDescent="0.2">
      <c r="B394" s="32"/>
      <c r="C394" s="32"/>
      <c r="D394" s="32"/>
      <c r="E394" s="32"/>
      <c r="F394" s="32"/>
      <c r="G394" s="34"/>
      <c r="H394"/>
      <c r="J394"/>
    </row>
    <row r="395" spans="2:10" x14ac:dyDescent="0.2">
      <c r="B395" s="32"/>
      <c r="C395" s="32"/>
      <c r="D395" s="32"/>
      <c r="E395" s="32"/>
      <c r="F395" s="32"/>
      <c r="G395" s="34"/>
      <c r="H395"/>
      <c r="J395"/>
    </row>
    <row r="396" spans="2:10" x14ac:dyDescent="0.2">
      <c r="B396" s="32"/>
      <c r="C396" s="32"/>
      <c r="D396" s="32"/>
      <c r="E396" s="32"/>
      <c r="F396" s="32"/>
      <c r="G396" s="34"/>
      <c r="H396"/>
      <c r="J396"/>
    </row>
    <row r="397" spans="2:10" x14ac:dyDescent="0.2">
      <c r="B397" s="32"/>
      <c r="C397" s="32"/>
      <c r="D397" s="32"/>
      <c r="E397" s="32"/>
      <c r="F397" s="32"/>
      <c r="G397" s="34"/>
      <c r="H397"/>
      <c r="J397"/>
    </row>
    <row r="398" spans="2:10" x14ac:dyDescent="0.2">
      <c r="B398" s="32"/>
      <c r="C398" s="32"/>
      <c r="D398" s="32"/>
      <c r="E398" s="32"/>
      <c r="F398" s="32"/>
      <c r="G398" s="34"/>
      <c r="H398" s="32"/>
      <c r="J398"/>
    </row>
    <row r="399" spans="2:10" x14ac:dyDescent="0.2">
      <c r="B399" s="32"/>
      <c r="C399" s="32"/>
      <c r="D399" s="32"/>
      <c r="E399" s="32"/>
      <c r="F399" s="32"/>
      <c r="G399" s="34"/>
      <c r="H399" s="32"/>
      <c r="J399"/>
    </row>
    <row r="400" spans="2:10" x14ac:dyDescent="0.2">
      <c r="B400" s="32"/>
      <c r="C400" s="32"/>
      <c r="D400" s="32"/>
      <c r="E400" s="32"/>
      <c r="F400" s="32"/>
      <c r="G400" s="34"/>
      <c r="H400" s="32"/>
      <c r="J400"/>
    </row>
    <row r="401" spans="2:10" x14ac:dyDescent="0.2">
      <c r="B401" s="32"/>
      <c r="C401" s="32"/>
      <c r="D401" s="32"/>
      <c r="E401" s="32"/>
      <c r="F401" s="32"/>
      <c r="G401" s="34"/>
      <c r="H401" s="32"/>
      <c r="J401"/>
    </row>
    <row r="402" spans="2:10" x14ac:dyDescent="0.2">
      <c r="B402" s="32"/>
      <c r="C402" s="32"/>
      <c r="D402" s="32"/>
      <c r="E402" s="32"/>
      <c r="F402" s="32"/>
      <c r="G402" s="34"/>
      <c r="H402" s="32"/>
      <c r="J402"/>
    </row>
    <row r="403" spans="2:10" x14ac:dyDescent="0.2">
      <c r="B403" s="32"/>
      <c r="C403" s="32"/>
      <c r="D403" s="32"/>
      <c r="E403" s="32"/>
      <c r="F403" s="32"/>
      <c r="G403" s="34"/>
      <c r="H403" s="32"/>
      <c r="J403"/>
    </row>
    <row r="404" spans="2:10" x14ac:dyDescent="0.2">
      <c r="B404" s="32"/>
      <c r="C404" s="32"/>
      <c r="D404" s="32"/>
      <c r="E404" s="32"/>
      <c r="F404" s="32"/>
      <c r="G404" s="34"/>
      <c r="H404" s="32"/>
      <c r="J404"/>
    </row>
    <row r="405" spans="2:10" x14ac:dyDescent="0.2">
      <c r="B405" s="32"/>
      <c r="C405" s="32"/>
      <c r="D405" s="32"/>
      <c r="E405" s="32"/>
      <c r="F405" s="32"/>
      <c r="G405" s="34"/>
      <c r="H405" s="32"/>
      <c r="J405"/>
    </row>
    <row r="406" spans="2:10" x14ac:dyDescent="0.2">
      <c r="B406" s="32"/>
      <c r="C406" s="32"/>
      <c r="D406" s="32"/>
      <c r="E406" s="32"/>
      <c r="F406" s="32"/>
      <c r="G406" s="34"/>
      <c r="H406" s="32"/>
    </row>
    <row r="407" spans="2:10" x14ac:dyDescent="0.2">
      <c r="B407" s="32"/>
      <c r="C407" s="32"/>
      <c r="D407" s="32"/>
      <c r="E407" s="32"/>
      <c r="F407" s="32"/>
      <c r="G407" s="34"/>
      <c r="H407" s="32"/>
      <c r="J407"/>
    </row>
    <row r="408" spans="2:10" x14ac:dyDescent="0.2">
      <c r="B408" s="32"/>
      <c r="C408" s="32"/>
      <c r="D408" s="32"/>
      <c r="E408" s="32"/>
      <c r="F408" s="32"/>
      <c r="G408" s="34"/>
      <c r="H408" s="32"/>
      <c r="J408"/>
    </row>
    <row r="409" spans="2:10" x14ac:dyDescent="0.2">
      <c r="B409" s="32"/>
      <c r="C409" s="32"/>
      <c r="D409" s="32"/>
      <c r="E409" s="32"/>
      <c r="F409" s="32"/>
      <c r="G409" s="34"/>
      <c r="H409" s="32"/>
      <c r="J409"/>
    </row>
    <row r="410" spans="2:10" x14ac:dyDescent="0.2">
      <c r="B410" s="32"/>
      <c r="C410" s="32"/>
      <c r="D410" s="32"/>
      <c r="E410" s="32"/>
      <c r="F410" s="32"/>
      <c r="G410" s="34"/>
      <c r="H410" s="32"/>
      <c r="J410"/>
    </row>
    <row r="411" spans="2:10" x14ac:dyDescent="0.2">
      <c r="B411" s="32"/>
      <c r="C411" s="32"/>
      <c r="D411" s="32"/>
      <c r="E411" s="32"/>
      <c r="F411" s="32"/>
      <c r="G411" s="34"/>
      <c r="H411" s="32"/>
      <c r="J411"/>
    </row>
    <row r="412" spans="2:10" x14ac:dyDescent="0.2">
      <c r="B412" s="32"/>
      <c r="C412" s="32"/>
      <c r="D412" s="32"/>
      <c r="E412" s="32"/>
      <c r="F412" s="32"/>
      <c r="G412" s="34"/>
      <c r="H412" s="32"/>
      <c r="J412"/>
    </row>
    <row r="413" spans="2:10" x14ac:dyDescent="0.2">
      <c r="B413" s="32"/>
      <c r="C413" s="32"/>
      <c r="D413" s="32"/>
      <c r="E413" s="32"/>
      <c r="F413" s="32"/>
      <c r="G413" s="34"/>
      <c r="H413" s="32"/>
      <c r="J413"/>
    </row>
    <row r="414" spans="2:10" x14ac:dyDescent="0.2">
      <c r="B414" s="32"/>
      <c r="C414" s="32"/>
      <c r="D414" s="32"/>
      <c r="E414" s="32"/>
      <c r="F414" s="32"/>
      <c r="G414" s="34"/>
      <c r="H414" s="32"/>
      <c r="J414"/>
    </row>
    <row r="415" spans="2:10" x14ac:dyDescent="0.2">
      <c r="B415" s="32"/>
      <c r="C415" s="32"/>
      <c r="D415" s="32"/>
      <c r="E415" s="32"/>
      <c r="F415" s="32"/>
      <c r="G415" s="34"/>
      <c r="J415"/>
    </row>
    <row r="416" spans="2:10" x14ac:dyDescent="0.2">
      <c r="B416" s="32"/>
      <c r="C416" s="32"/>
      <c r="D416" s="32"/>
      <c r="E416" s="32"/>
      <c r="F416" s="32"/>
      <c r="G416" s="34"/>
      <c r="J416"/>
    </row>
    <row r="417" spans="2:10" x14ac:dyDescent="0.2">
      <c r="B417" s="32"/>
      <c r="C417" s="32"/>
      <c r="D417" s="32"/>
      <c r="E417" s="32"/>
      <c r="F417" s="32"/>
      <c r="G417" s="34"/>
      <c r="J417"/>
    </row>
    <row r="418" spans="2:10" x14ac:dyDescent="0.2">
      <c r="B418" s="32"/>
      <c r="C418" s="32"/>
      <c r="D418" s="32"/>
      <c r="E418" s="32"/>
      <c r="F418" s="32"/>
      <c r="G418" s="34"/>
      <c r="J418"/>
    </row>
    <row r="419" spans="2:10" x14ac:dyDescent="0.2">
      <c r="B419" s="32"/>
      <c r="C419" s="32"/>
      <c r="D419" s="32"/>
      <c r="E419" s="32"/>
      <c r="F419" s="32"/>
      <c r="G419" s="34"/>
      <c r="J419"/>
    </row>
    <row r="420" spans="2:10" x14ac:dyDescent="0.2">
      <c r="B420" s="32"/>
      <c r="C420" s="32"/>
      <c r="D420" s="32"/>
      <c r="E420" s="32"/>
      <c r="F420" s="32"/>
      <c r="G420" s="34"/>
      <c r="J420"/>
    </row>
    <row r="421" spans="2:10" x14ac:dyDescent="0.2">
      <c r="B421" s="32"/>
      <c r="C421" s="32"/>
      <c r="D421" s="32"/>
      <c r="E421" s="32"/>
      <c r="F421" s="32"/>
      <c r="G421" s="34"/>
      <c r="H421" s="32"/>
      <c r="J421"/>
    </row>
    <row r="422" spans="2:10" x14ac:dyDescent="0.2">
      <c r="B422" s="32"/>
      <c r="C422" s="32"/>
      <c r="D422" s="32"/>
      <c r="E422" s="32"/>
      <c r="F422" s="32"/>
      <c r="G422" s="34"/>
      <c r="H422" s="32"/>
      <c r="J422"/>
    </row>
    <row r="423" spans="2:10" x14ac:dyDescent="0.2">
      <c r="B423" s="32"/>
      <c r="C423" s="32"/>
      <c r="D423" s="32"/>
      <c r="E423" s="32"/>
      <c r="F423" s="32"/>
      <c r="G423" s="34"/>
      <c r="H423" s="32"/>
      <c r="J423"/>
    </row>
    <row r="424" spans="2:10" x14ac:dyDescent="0.2">
      <c r="B424" s="32"/>
      <c r="C424" s="32"/>
      <c r="D424" s="32"/>
      <c r="E424" s="32"/>
      <c r="F424" s="32"/>
      <c r="G424" s="34"/>
      <c r="H424" s="32"/>
      <c r="J424"/>
    </row>
    <row r="425" spans="2:10" x14ac:dyDescent="0.2">
      <c r="B425" s="32"/>
      <c r="C425" s="32"/>
      <c r="D425" s="32"/>
      <c r="E425" s="32"/>
      <c r="F425" s="32"/>
      <c r="G425" s="34"/>
      <c r="H425" s="32"/>
      <c r="J425"/>
    </row>
    <row r="426" spans="2:10" x14ac:dyDescent="0.2">
      <c r="B426" s="32"/>
      <c r="C426" s="32"/>
      <c r="D426" s="32"/>
      <c r="E426" s="32"/>
      <c r="F426" s="32"/>
      <c r="G426" s="34"/>
      <c r="H426" s="32"/>
      <c r="J426"/>
    </row>
    <row r="427" spans="2:10" x14ac:dyDescent="0.2">
      <c r="B427" s="32"/>
      <c r="C427" s="32"/>
      <c r="D427" s="32"/>
      <c r="E427" s="32"/>
      <c r="F427" s="32"/>
      <c r="G427" s="34"/>
      <c r="H427" s="32"/>
      <c r="J427"/>
    </row>
    <row r="428" spans="2:10" x14ac:dyDescent="0.2">
      <c r="B428" s="32"/>
      <c r="C428" s="32"/>
      <c r="D428" s="32"/>
      <c r="E428" s="32"/>
      <c r="F428" s="32"/>
      <c r="G428" s="34"/>
      <c r="J428"/>
    </row>
    <row r="429" spans="2:10" x14ac:dyDescent="0.2">
      <c r="B429" s="32"/>
      <c r="C429" s="32"/>
      <c r="D429" s="32"/>
      <c r="E429" s="32"/>
      <c r="F429" s="32"/>
      <c r="G429" s="34"/>
      <c r="J429"/>
    </row>
    <row r="430" spans="2:10" x14ac:dyDescent="0.2">
      <c r="B430" s="32"/>
      <c r="C430" s="32"/>
      <c r="D430" s="32"/>
      <c r="E430" s="32"/>
      <c r="F430" s="32"/>
      <c r="G430" s="34"/>
      <c r="J430"/>
    </row>
    <row r="431" spans="2:10" x14ac:dyDescent="0.2">
      <c r="B431" s="32"/>
      <c r="C431" s="32"/>
      <c r="D431" s="32"/>
      <c r="E431" s="32"/>
      <c r="F431" s="32"/>
      <c r="G431" s="34"/>
      <c r="J431"/>
    </row>
    <row r="432" spans="2:10" x14ac:dyDescent="0.2">
      <c r="B432" s="32"/>
      <c r="C432" s="32"/>
      <c r="D432" s="32"/>
      <c r="E432" s="32"/>
      <c r="F432" s="32"/>
      <c r="G432" s="34"/>
      <c r="J432"/>
    </row>
    <row r="433" spans="1:13" x14ac:dyDescent="0.2">
      <c r="B433" s="32"/>
      <c r="C433" s="32"/>
      <c r="D433" s="32"/>
      <c r="E433" s="32"/>
      <c r="F433" s="32"/>
      <c r="G433" s="34"/>
      <c r="J433"/>
    </row>
    <row r="434" spans="1:13" x14ac:dyDescent="0.2">
      <c r="A434" s="44"/>
      <c r="B434" s="32"/>
      <c r="C434" s="41"/>
      <c r="D434" s="41"/>
      <c r="E434" s="41"/>
      <c r="F434" s="41"/>
      <c r="G434" s="42"/>
      <c r="H434" s="45"/>
      <c r="J434"/>
      <c r="L434" s="49"/>
      <c r="M434" s="49"/>
    </row>
    <row r="435" spans="1:13" x14ac:dyDescent="0.2">
      <c r="B435" s="32"/>
      <c r="C435" s="32"/>
      <c r="D435" s="32"/>
      <c r="E435" s="32"/>
      <c r="F435" s="32"/>
      <c r="G435" s="34"/>
      <c r="J435"/>
    </row>
    <row r="436" spans="1:13" x14ac:dyDescent="0.2">
      <c r="B436" s="32"/>
      <c r="C436" s="32"/>
      <c r="D436" s="32"/>
      <c r="E436" s="32"/>
      <c r="F436" s="32"/>
      <c r="G436" s="34"/>
      <c r="J436"/>
    </row>
    <row r="437" spans="1:13" x14ac:dyDescent="0.2">
      <c r="B437" s="32"/>
      <c r="C437" s="32"/>
      <c r="D437" s="32"/>
      <c r="E437" s="32"/>
      <c r="F437" s="32"/>
      <c r="G437" s="34"/>
      <c r="J437"/>
    </row>
    <row r="438" spans="1:13" x14ac:dyDescent="0.2">
      <c r="B438" s="32"/>
      <c r="C438" s="32"/>
      <c r="D438" s="32"/>
      <c r="E438" s="32"/>
      <c r="F438" s="32"/>
      <c r="G438" s="34"/>
      <c r="J438"/>
    </row>
    <row r="439" spans="1:13" x14ac:dyDescent="0.2">
      <c r="B439" s="32"/>
      <c r="C439" s="32"/>
      <c r="D439" s="32"/>
      <c r="E439" s="32"/>
      <c r="F439" s="32"/>
      <c r="G439" s="34"/>
      <c r="J439"/>
    </row>
    <row r="440" spans="1:13" x14ac:dyDescent="0.2">
      <c r="B440" s="32"/>
      <c r="C440" s="32"/>
      <c r="D440" s="32"/>
      <c r="E440" s="32"/>
      <c r="F440" s="32"/>
      <c r="G440" s="34"/>
      <c r="J440"/>
    </row>
    <row r="441" spans="1:13" x14ac:dyDescent="0.2">
      <c r="B441" s="32"/>
      <c r="C441" s="32"/>
      <c r="D441" s="32"/>
      <c r="E441" s="32"/>
      <c r="F441" s="32"/>
      <c r="G441" s="34"/>
      <c r="J441"/>
    </row>
    <row r="442" spans="1:13" x14ac:dyDescent="0.2">
      <c r="B442" s="32"/>
      <c r="C442" s="32"/>
      <c r="D442" s="32"/>
      <c r="E442" s="32"/>
      <c r="F442" s="32"/>
      <c r="G442" s="34"/>
      <c r="J442"/>
    </row>
    <row r="443" spans="1:13" x14ac:dyDescent="0.2">
      <c r="B443" s="32"/>
      <c r="C443" s="32"/>
      <c r="D443" s="32"/>
      <c r="E443" s="32"/>
      <c r="F443" s="32"/>
      <c r="G443" s="34"/>
      <c r="J443"/>
    </row>
    <row r="444" spans="1:13" x14ac:dyDescent="0.2">
      <c r="B444" s="32"/>
      <c r="C444" s="32"/>
      <c r="D444" s="32"/>
      <c r="E444" s="32"/>
      <c r="F444" s="32"/>
      <c r="G444" s="34"/>
      <c r="J444"/>
    </row>
    <row r="445" spans="1:13" x14ac:dyDescent="0.2">
      <c r="B445" s="32"/>
      <c r="C445" s="32"/>
      <c r="D445" s="32"/>
      <c r="E445" s="32"/>
      <c r="F445" s="32"/>
      <c r="G445" s="34"/>
      <c r="J445"/>
    </row>
    <row r="446" spans="1:13" x14ac:dyDescent="0.2">
      <c r="B446" s="32"/>
      <c r="C446" s="32"/>
      <c r="D446" s="32"/>
      <c r="E446" s="32"/>
      <c r="F446" s="32"/>
      <c r="G446" s="34"/>
      <c r="J446"/>
    </row>
    <row r="447" spans="1:13" x14ac:dyDescent="0.2">
      <c r="B447" s="32"/>
      <c r="C447" s="32"/>
      <c r="D447" s="32"/>
      <c r="E447" s="32"/>
      <c r="F447" s="32"/>
      <c r="G447" s="34"/>
      <c r="H447" s="32"/>
      <c r="J447" s="50"/>
      <c r="K447" s="46"/>
    </row>
    <row r="448" spans="1:13" x14ac:dyDescent="0.2">
      <c r="B448" s="32"/>
      <c r="C448" s="32"/>
      <c r="D448" s="32"/>
      <c r="E448" s="32"/>
      <c r="F448" s="32"/>
      <c r="G448" s="34"/>
      <c r="H448" s="32"/>
      <c r="J448" s="50"/>
      <c r="K448" s="46"/>
    </row>
    <row r="449" spans="1:11" x14ac:dyDescent="0.2">
      <c r="A449" s="51"/>
      <c r="B449" s="52"/>
      <c r="C449" s="52"/>
      <c r="D449" s="52"/>
      <c r="E449" s="52"/>
      <c r="F449" s="52"/>
      <c r="G449" s="53"/>
      <c r="H449" s="52"/>
      <c r="I449" s="51"/>
      <c r="J449" s="54"/>
      <c r="K449" s="46"/>
    </row>
    <row r="450" spans="1:11" x14ac:dyDescent="0.2">
      <c r="A450" s="51"/>
      <c r="B450" s="52"/>
      <c r="C450" s="52"/>
      <c r="D450" s="52"/>
      <c r="E450" s="52"/>
      <c r="F450" s="52"/>
      <c r="G450" s="53"/>
      <c r="H450" s="54"/>
      <c r="I450" s="51"/>
      <c r="J450" s="54"/>
      <c r="K450" s="46"/>
    </row>
    <row r="451" spans="1:11" x14ac:dyDescent="0.2">
      <c r="A451" s="51"/>
      <c r="B451" s="52"/>
      <c r="C451" s="52"/>
      <c r="D451" s="52"/>
      <c r="E451" s="52"/>
      <c r="F451" s="52"/>
      <c r="G451" s="53"/>
      <c r="H451" s="54"/>
      <c r="I451" s="51"/>
      <c r="J451" s="54"/>
      <c r="K451" s="46"/>
    </row>
    <row r="452" spans="1:11" x14ac:dyDescent="0.2">
      <c r="A452" s="51"/>
      <c r="B452" s="52"/>
      <c r="C452" s="52"/>
      <c r="D452" s="52"/>
      <c r="E452" s="52"/>
      <c r="F452" s="52"/>
      <c r="G452" s="53"/>
      <c r="H452" s="52"/>
      <c r="I452" s="51"/>
      <c r="J452" s="54"/>
      <c r="K452" s="46"/>
    </row>
    <row r="453" spans="1:11" x14ac:dyDescent="0.2">
      <c r="A453" s="51"/>
      <c r="B453" s="52"/>
      <c r="C453" s="52"/>
      <c r="D453" s="52"/>
      <c r="E453" s="52"/>
      <c r="F453" s="52"/>
      <c r="G453" s="53"/>
      <c r="H453" s="52"/>
      <c r="I453" s="51"/>
      <c r="J453" s="54"/>
      <c r="K453" s="46"/>
    </row>
    <row r="454" spans="1:11" x14ac:dyDescent="0.2">
      <c r="A454" s="51"/>
      <c r="B454" s="52"/>
      <c r="C454" s="52"/>
      <c r="D454" s="52"/>
      <c r="E454" s="52"/>
      <c r="F454" s="52"/>
      <c r="G454" s="53"/>
      <c r="H454" s="52"/>
      <c r="I454" s="51"/>
      <c r="J454" s="54"/>
      <c r="K454" s="46"/>
    </row>
    <row r="455" spans="1:11" x14ac:dyDescent="0.2">
      <c r="A455" s="51"/>
      <c r="B455" s="52"/>
      <c r="C455" s="52"/>
      <c r="D455" s="52"/>
      <c r="E455" s="52"/>
      <c r="F455" s="52"/>
      <c r="G455" s="53"/>
      <c r="H455" s="52"/>
      <c r="I455" s="51"/>
      <c r="J455" s="54"/>
      <c r="K455" s="46"/>
    </row>
    <row r="456" spans="1:11" x14ac:dyDescent="0.2">
      <c r="A456" s="51"/>
      <c r="B456" s="52"/>
      <c r="C456" s="52"/>
      <c r="D456" s="52"/>
      <c r="E456" s="52"/>
      <c r="F456" s="52"/>
      <c r="G456" s="53"/>
      <c r="H456" s="54"/>
      <c r="I456" s="51"/>
      <c r="J456" s="54"/>
      <c r="K456" s="46"/>
    </row>
    <row r="457" spans="1:11" x14ac:dyDescent="0.2">
      <c r="A457" s="51"/>
      <c r="B457" s="52"/>
      <c r="C457" s="52"/>
      <c r="D457" s="52"/>
      <c r="E457" s="52"/>
      <c r="F457" s="52"/>
      <c r="G457" s="53"/>
      <c r="H457" s="52"/>
      <c r="I457" s="51"/>
      <c r="J457" s="54"/>
      <c r="K457" s="46"/>
    </row>
    <row r="458" spans="1:11" x14ac:dyDescent="0.2">
      <c r="A458" s="51"/>
      <c r="B458" s="52"/>
      <c r="C458" s="52"/>
      <c r="D458" s="52"/>
      <c r="E458" s="52"/>
      <c r="F458" s="52"/>
      <c r="G458" s="53"/>
      <c r="H458" s="52"/>
      <c r="I458" s="51"/>
      <c r="J458" s="54"/>
      <c r="K458" s="46"/>
    </row>
    <row r="459" spans="1:11" x14ac:dyDescent="0.2">
      <c r="A459" s="51"/>
      <c r="B459" s="52"/>
      <c r="C459" s="52"/>
      <c r="D459" s="52"/>
      <c r="E459" s="52"/>
      <c r="F459" s="52"/>
      <c r="G459" s="53"/>
      <c r="H459" s="52"/>
      <c r="I459" s="51"/>
      <c r="J459" s="54"/>
      <c r="K459" s="46"/>
    </row>
    <row r="460" spans="1:11" x14ac:dyDescent="0.2">
      <c r="A460" s="51"/>
      <c r="B460" s="52"/>
      <c r="C460" s="52"/>
      <c r="D460" s="52"/>
      <c r="E460" s="52"/>
      <c r="F460" s="52"/>
      <c r="G460" s="53"/>
      <c r="H460" s="54"/>
      <c r="I460" s="51"/>
      <c r="J460" s="54"/>
      <c r="K460" s="46"/>
    </row>
    <row r="461" spans="1:11" x14ac:dyDescent="0.2">
      <c r="A461" s="51"/>
      <c r="B461" s="52"/>
      <c r="C461" s="52"/>
      <c r="D461" s="52"/>
      <c r="E461" s="52"/>
      <c r="F461" s="52"/>
      <c r="G461" s="53"/>
      <c r="H461" s="54"/>
      <c r="I461" s="51"/>
      <c r="J461" s="54"/>
      <c r="K461" s="46"/>
    </row>
    <row r="462" spans="1:11" x14ac:dyDescent="0.2">
      <c r="A462" s="51"/>
      <c r="B462" s="52"/>
      <c r="C462" s="52"/>
      <c r="D462" s="52"/>
      <c r="E462" s="52"/>
      <c r="F462" s="52"/>
      <c r="G462" s="53"/>
      <c r="H462" s="54"/>
      <c r="I462" s="51"/>
      <c r="J462" s="54"/>
      <c r="K462" s="46"/>
    </row>
    <row r="463" spans="1:11" x14ac:dyDescent="0.2">
      <c r="A463" s="51"/>
      <c r="B463" s="52"/>
      <c r="C463" s="52"/>
      <c r="D463" s="52"/>
      <c r="E463" s="52"/>
      <c r="F463" s="52"/>
      <c r="G463" s="53"/>
      <c r="H463" s="52"/>
      <c r="I463" s="51"/>
      <c r="J463" s="54"/>
      <c r="K463" s="46"/>
    </row>
    <row r="464" spans="1:11" x14ac:dyDescent="0.2">
      <c r="A464" s="55"/>
      <c r="B464" s="52"/>
      <c r="C464" s="52"/>
      <c r="D464" s="52"/>
      <c r="E464" s="52"/>
      <c r="F464" s="52"/>
      <c r="G464" s="53"/>
      <c r="H464" s="51"/>
      <c r="I464" s="51"/>
      <c r="J464" s="54"/>
      <c r="K464" s="51"/>
    </row>
    <row r="465" spans="1:11" x14ac:dyDescent="0.2">
      <c r="A465" s="55"/>
      <c r="B465" s="52"/>
      <c r="C465" s="52"/>
      <c r="D465" s="52"/>
      <c r="E465" s="52"/>
      <c r="F465" s="52"/>
      <c r="G465" s="53"/>
      <c r="H465" s="51"/>
      <c r="I465" s="51"/>
      <c r="J465" s="54"/>
      <c r="K465" s="51"/>
    </row>
    <row r="466" spans="1:11" ht="15.75" customHeight="1" x14ac:dyDescent="0.2">
      <c r="A466" s="55"/>
      <c r="B466" s="52"/>
      <c r="C466" s="52"/>
      <c r="D466" s="56"/>
      <c r="E466" s="52"/>
      <c r="F466" s="52"/>
      <c r="G466" s="53"/>
      <c r="H466" s="51"/>
      <c r="I466" s="51"/>
      <c r="J466" s="57"/>
      <c r="K466" s="51"/>
    </row>
    <row r="467" spans="1:11" ht="18.75" customHeight="1" x14ac:dyDescent="0.2">
      <c r="A467" s="35"/>
      <c r="B467" s="32"/>
      <c r="C467" s="32"/>
      <c r="D467" s="58"/>
      <c r="E467" s="32"/>
      <c r="F467" s="32"/>
      <c r="G467" s="34"/>
      <c r="J467"/>
    </row>
    <row r="468" spans="1:11" x14ac:dyDescent="0.2">
      <c r="A468" s="35"/>
      <c r="B468" s="32"/>
      <c r="C468" s="32"/>
      <c r="D468" s="32"/>
      <c r="E468" s="32"/>
      <c r="F468" s="32"/>
      <c r="G468" s="34"/>
    </row>
    <row r="469" spans="1:11" ht="19.5" customHeight="1" x14ac:dyDescent="0.2">
      <c r="A469" s="46"/>
      <c r="B469" s="32"/>
      <c r="C469" s="32"/>
      <c r="D469" s="58"/>
      <c r="E469" s="32"/>
      <c r="F469" s="32"/>
      <c r="G469" s="34"/>
    </row>
    <row r="470" spans="1:11" x14ac:dyDescent="0.2">
      <c r="A470" s="35"/>
      <c r="B470" s="32"/>
      <c r="C470" s="32"/>
      <c r="D470" s="32"/>
      <c r="E470" s="32"/>
      <c r="F470" s="32"/>
      <c r="G470" s="34"/>
    </row>
    <row r="471" spans="1:11" ht="15" customHeight="1" x14ac:dyDescent="0.2">
      <c r="A471" s="35"/>
      <c r="B471" s="32"/>
      <c r="C471" s="32"/>
      <c r="D471" s="58"/>
      <c r="E471" s="32"/>
      <c r="F471" s="32"/>
      <c r="G471" s="34"/>
    </row>
    <row r="472" spans="1:11" ht="17.25" customHeight="1" x14ac:dyDescent="0.2">
      <c r="A472" s="35"/>
      <c r="B472" s="32"/>
      <c r="C472" s="32"/>
      <c r="D472" s="58"/>
      <c r="E472" s="32"/>
      <c r="F472" s="32"/>
      <c r="G472" s="34"/>
      <c r="J472"/>
    </row>
    <row r="473" spans="1:11" ht="19.5" customHeight="1" x14ac:dyDescent="0.2">
      <c r="A473" s="35"/>
      <c r="B473" s="32"/>
      <c r="C473" s="32"/>
      <c r="D473" s="58"/>
      <c r="E473" s="32"/>
      <c r="F473" s="32"/>
      <c r="G473" s="34"/>
      <c r="J473"/>
    </row>
    <row r="474" spans="1:11" ht="19.5" customHeight="1" x14ac:dyDescent="0.2">
      <c r="A474" s="35"/>
      <c r="B474" s="32"/>
      <c r="C474" s="32"/>
      <c r="D474" s="58"/>
      <c r="E474" s="32"/>
      <c r="F474" s="32"/>
      <c r="G474" s="34"/>
      <c r="H474"/>
    </row>
    <row r="475" spans="1:11" ht="18.75" customHeight="1" x14ac:dyDescent="0.2">
      <c r="A475" s="35"/>
      <c r="B475" s="32"/>
      <c r="C475" s="32"/>
      <c r="D475" s="58"/>
      <c r="E475" s="32"/>
      <c r="F475" s="32"/>
      <c r="G475" s="34"/>
      <c r="H475"/>
      <c r="J475"/>
    </row>
    <row r="476" spans="1:11" ht="18.75" customHeight="1" x14ac:dyDescent="0.2">
      <c r="A476" s="35"/>
      <c r="B476" s="32"/>
      <c r="C476" s="32"/>
      <c r="D476" s="58"/>
      <c r="E476" s="32"/>
      <c r="F476" s="32"/>
      <c r="G476" s="34"/>
      <c r="J476"/>
    </row>
    <row r="477" spans="1:11" ht="17.25" customHeight="1" x14ac:dyDescent="0.2">
      <c r="A477" s="35"/>
      <c r="B477" s="32"/>
      <c r="C477" s="32"/>
      <c r="D477" s="58"/>
      <c r="E477" s="32"/>
      <c r="F477" s="32"/>
      <c r="G477" s="34"/>
    </row>
    <row r="478" spans="1:11" x14ac:dyDescent="0.2">
      <c r="A478" s="46"/>
      <c r="B478" s="32"/>
      <c r="C478" s="32"/>
      <c r="D478" s="32"/>
      <c r="E478" s="32"/>
      <c r="F478" s="32"/>
      <c r="G478" s="34"/>
      <c r="J478"/>
    </row>
    <row r="479" spans="1:11" ht="15" customHeight="1" x14ac:dyDescent="0.2">
      <c r="A479" s="46"/>
      <c r="B479" s="32"/>
      <c r="C479" s="32"/>
      <c r="D479" s="58"/>
      <c r="E479" s="32"/>
      <c r="F479" s="32"/>
      <c r="G479" s="34"/>
    </row>
    <row r="480" spans="1:11" ht="15" customHeight="1" x14ac:dyDescent="0.2">
      <c r="A480" s="46"/>
      <c r="B480" s="32"/>
      <c r="C480" s="32"/>
      <c r="D480" s="58"/>
      <c r="E480" s="32"/>
      <c r="F480" s="32"/>
      <c r="G480" s="34"/>
      <c r="J480"/>
    </row>
    <row r="481" spans="1:11" x14ac:dyDescent="0.2">
      <c r="A481" s="46"/>
      <c r="B481" s="32"/>
      <c r="C481" s="32"/>
      <c r="D481" s="58"/>
      <c r="E481" s="32"/>
      <c r="F481" s="32"/>
      <c r="G481" s="34"/>
      <c r="J481"/>
    </row>
    <row r="482" spans="1:11" x14ac:dyDescent="0.2">
      <c r="A482" s="46"/>
      <c r="B482" s="52"/>
      <c r="C482" s="32"/>
      <c r="D482" s="32"/>
      <c r="E482" s="32"/>
      <c r="F482" s="32"/>
      <c r="G482" s="34"/>
      <c r="J482"/>
    </row>
    <row r="483" spans="1:11" ht="17.25" customHeight="1" x14ac:dyDescent="0.2">
      <c r="A483" s="46"/>
      <c r="B483" s="32"/>
      <c r="C483" s="32"/>
      <c r="D483" s="58"/>
      <c r="E483" s="32"/>
      <c r="F483" s="32"/>
      <c r="G483" s="34"/>
      <c r="J483"/>
    </row>
    <row r="484" spans="1:11" ht="15" customHeight="1" x14ac:dyDescent="0.2">
      <c r="A484" s="46"/>
      <c r="B484" s="32"/>
      <c r="C484" s="32"/>
      <c r="D484" s="58"/>
      <c r="E484" s="32"/>
      <c r="F484" s="32"/>
      <c r="G484" s="34"/>
      <c r="J484"/>
    </row>
    <row r="485" spans="1:11" ht="18" customHeight="1" x14ac:dyDescent="0.2">
      <c r="A485" s="46"/>
      <c r="B485" s="32"/>
      <c r="C485" s="32"/>
      <c r="D485" s="58"/>
      <c r="E485" s="32"/>
      <c r="G485" s="59"/>
      <c r="J485" s="32"/>
    </row>
    <row r="486" spans="1:11" ht="15" customHeight="1" x14ac:dyDescent="0.2">
      <c r="A486" s="46"/>
      <c r="B486" s="32"/>
      <c r="C486" s="32"/>
      <c r="D486" s="58"/>
      <c r="E486" s="58"/>
      <c r="F486" s="60"/>
      <c r="G486" s="59"/>
      <c r="H486" s="47"/>
      <c r="I486" s="48"/>
    </row>
    <row r="487" spans="1:11" x14ac:dyDescent="0.2">
      <c r="A487" s="46"/>
      <c r="B487" s="32"/>
      <c r="C487" s="32"/>
      <c r="D487" s="32"/>
      <c r="E487" s="32"/>
      <c r="G487" s="59"/>
      <c r="J487"/>
    </row>
    <row r="488" spans="1:11" x14ac:dyDescent="0.2">
      <c r="A488" s="61"/>
      <c r="B488" s="41"/>
      <c r="C488" s="41"/>
      <c r="D488" s="41"/>
      <c r="E488" s="41"/>
      <c r="F488" s="45"/>
      <c r="G488" s="62"/>
      <c r="H488" s="44"/>
      <c r="I488" s="44"/>
      <c r="J488" s="45"/>
    </row>
    <row r="489" spans="1:11" ht="15" customHeight="1" x14ac:dyDescent="0.2">
      <c r="A489" s="46"/>
      <c r="B489" s="32"/>
      <c r="C489" s="32"/>
      <c r="D489" s="58"/>
      <c r="E489" s="32"/>
      <c r="F489" s="32"/>
      <c r="G489" s="34"/>
      <c r="H489"/>
    </row>
    <row r="490" spans="1:11" ht="15" customHeight="1" x14ac:dyDescent="0.2">
      <c r="A490" s="46"/>
      <c r="B490" s="32"/>
      <c r="C490" s="32"/>
      <c r="D490" s="58"/>
      <c r="E490" s="32"/>
      <c r="F490" s="58"/>
      <c r="G490" s="34"/>
      <c r="H490" s="32"/>
      <c r="J490" s="32"/>
    </row>
    <row r="491" spans="1:11" ht="21" customHeight="1" x14ac:dyDescent="0.2">
      <c r="A491" s="46"/>
      <c r="B491" s="32"/>
      <c r="C491" s="32"/>
      <c r="D491" s="58"/>
      <c r="E491" s="58"/>
      <c r="F491" s="58"/>
      <c r="G491" s="34"/>
      <c r="H491" s="47"/>
      <c r="I491" s="48"/>
      <c r="J491"/>
    </row>
    <row r="492" spans="1:11" ht="17.25" customHeight="1" x14ac:dyDescent="0.2">
      <c r="A492" s="46"/>
      <c r="B492" s="32"/>
      <c r="C492" s="32"/>
      <c r="D492" s="58"/>
      <c r="E492" s="32"/>
      <c r="F492" s="32"/>
      <c r="G492" s="34"/>
      <c r="H492" s="32"/>
      <c r="I492" s="46"/>
      <c r="J492"/>
    </row>
    <row r="493" spans="1:11" ht="17.25" customHeight="1" x14ac:dyDescent="0.2">
      <c r="A493" s="46"/>
      <c r="B493" s="32"/>
      <c r="C493" s="32"/>
      <c r="D493" s="58"/>
      <c r="E493" s="58"/>
      <c r="F493" s="32"/>
      <c r="G493" s="34"/>
      <c r="J493"/>
    </row>
    <row r="494" spans="1:11" ht="17.25" customHeight="1" x14ac:dyDescent="0.2">
      <c r="A494" s="46"/>
      <c r="B494" s="32"/>
      <c r="C494" s="32"/>
      <c r="D494" s="58"/>
      <c r="E494" s="32"/>
      <c r="F494" s="32"/>
      <c r="G494" s="34"/>
      <c r="J494"/>
    </row>
    <row r="495" spans="1:11" ht="15.75" customHeight="1" x14ac:dyDescent="0.2">
      <c r="A495" s="46"/>
      <c r="B495" s="32"/>
      <c r="C495" s="32"/>
      <c r="D495" s="58"/>
      <c r="E495" s="32"/>
      <c r="F495" s="32"/>
      <c r="G495" s="34"/>
      <c r="H495" s="32"/>
      <c r="I495" s="46"/>
      <c r="J495"/>
    </row>
    <row r="496" spans="1:11" ht="17.25" customHeight="1" x14ac:dyDescent="0.2">
      <c r="A496" s="46"/>
      <c r="B496" s="32"/>
      <c r="C496" s="32"/>
      <c r="D496" s="58"/>
      <c r="E496" s="32"/>
      <c r="F496" s="32"/>
      <c r="G496" s="34"/>
      <c r="H496" s="32"/>
      <c r="I496" s="46"/>
      <c r="K496" s="55"/>
    </row>
    <row r="497" spans="1:11" ht="18" customHeight="1" x14ac:dyDescent="0.2">
      <c r="A497" s="63"/>
      <c r="B497" s="32"/>
      <c r="C497" s="32"/>
      <c r="D497" s="58"/>
      <c r="E497" s="32"/>
      <c r="F497" s="32"/>
      <c r="G497" s="34"/>
      <c r="H497" s="32"/>
      <c r="J497"/>
    </row>
    <row r="498" spans="1:11" ht="17.25" customHeight="1" x14ac:dyDescent="0.2">
      <c r="A498" s="46"/>
      <c r="B498" s="32"/>
      <c r="C498" s="32"/>
      <c r="D498" s="58"/>
      <c r="E498" s="58"/>
      <c r="F498" s="32"/>
      <c r="G498" s="34"/>
      <c r="H498" s="32"/>
      <c r="I498" s="46"/>
      <c r="J498"/>
    </row>
    <row r="499" spans="1:11" ht="15.75" customHeight="1" x14ac:dyDescent="0.2">
      <c r="A499" s="46"/>
      <c r="B499" s="32"/>
      <c r="C499" s="32"/>
      <c r="D499" s="58"/>
      <c r="E499" s="32"/>
      <c r="F499" s="32"/>
      <c r="G499" s="34"/>
      <c r="K499" s="55"/>
    </row>
    <row r="500" spans="1:11" x14ac:dyDescent="0.2">
      <c r="A500" s="61"/>
      <c r="B500" s="41"/>
      <c r="C500" s="41"/>
      <c r="D500" s="45"/>
      <c r="E500" s="41"/>
      <c r="F500" s="45"/>
      <c r="G500" s="62"/>
      <c r="H500" s="41"/>
      <c r="I500" s="46"/>
    </row>
    <row r="501" spans="1:11" x14ac:dyDescent="0.2">
      <c r="A501" s="46"/>
      <c r="B501" s="32"/>
      <c r="C501" s="32"/>
      <c r="E501" s="32"/>
      <c r="G501" s="59"/>
      <c r="H501" s="32"/>
      <c r="I501" s="46"/>
      <c r="J501"/>
    </row>
    <row r="502" spans="1:11" ht="17.25" customHeight="1" x14ac:dyDescent="0.2">
      <c r="A502" s="46"/>
      <c r="B502" s="32"/>
      <c r="C502" s="32"/>
      <c r="D502" s="58"/>
      <c r="E502" s="32"/>
      <c r="F502" s="32"/>
      <c r="G502" s="34"/>
      <c r="H502" s="64"/>
      <c r="J502"/>
    </row>
    <row r="503" spans="1:11" ht="15.75" customHeight="1" x14ac:dyDescent="0.2">
      <c r="A503" s="46"/>
      <c r="B503" s="32"/>
      <c r="C503" s="32"/>
      <c r="D503" s="58"/>
      <c r="E503" s="32"/>
      <c r="F503" s="32"/>
      <c r="G503" s="34"/>
      <c r="H503" s="32"/>
      <c r="I503" s="46"/>
      <c r="J503"/>
    </row>
    <row r="504" spans="1:11" ht="17.25" customHeight="1" x14ac:dyDescent="0.2">
      <c r="A504" s="46"/>
      <c r="B504" s="32"/>
      <c r="C504" s="32"/>
      <c r="D504" s="58"/>
      <c r="E504" s="32"/>
      <c r="F504" s="32"/>
      <c r="G504" s="34"/>
      <c r="H504" s="32"/>
      <c r="I504" s="46"/>
      <c r="J504" s="32"/>
    </row>
    <row r="505" spans="1:11" x14ac:dyDescent="0.2">
      <c r="A505" s="65"/>
      <c r="B505" s="66"/>
      <c r="C505" s="66"/>
      <c r="D505" s="66"/>
      <c r="E505" s="66"/>
      <c r="F505" s="66"/>
      <c r="G505" s="67"/>
      <c r="H505" s="68"/>
      <c r="I505" s="68"/>
      <c r="J505"/>
    </row>
    <row r="506" spans="1:11" ht="16.5" customHeight="1" x14ac:dyDescent="0.2">
      <c r="A506" s="69"/>
      <c r="B506" s="66"/>
      <c r="C506" s="66"/>
      <c r="D506" s="70"/>
      <c r="E506" s="66"/>
      <c r="F506" s="66"/>
      <c r="G506" s="67"/>
      <c r="H506" s="68"/>
      <c r="I506" s="68"/>
      <c r="J506"/>
    </row>
    <row r="507" spans="1:11" ht="12.75" customHeight="1" x14ac:dyDescent="0.2">
      <c r="A507" s="69"/>
      <c r="B507" s="66"/>
      <c r="C507" s="66"/>
      <c r="D507" s="71"/>
      <c r="E507" s="66"/>
      <c r="F507" s="66"/>
      <c r="G507" s="67"/>
      <c r="H507" s="32"/>
      <c r="J507"/>
    </row>
    <row r="508" spans="1:11" ht="17.25" customHeight="1" x14ac:dyDescent="0.2">
      <c r="A508" s="69"/>
      <c r="B508" s="66"/>
      <c r="C508" s="66"/>
      <c r="D508" s="70"/>
      <c r="E508" s="66"/>
      <c r="F508" s="66"/>
      <c r="G508" s="67"/>
      <c r="H508" s="32"/>
      <c r="J508"/>
    </row>
    <row r="509" spans="1:11" ht="19.5" customHeight="1" x14ac:dyDescent="0.2">
      <c r="A509" s="69"/>
      <c r="B509" s="66"/>
      <c r="C509" s="66"/>
      <c r="D509" s="70"/>
      <c r="E509" s="66"/>
      <c r="F509" s="66"/>
      <c r="G509" s="67"/>
      <c r="H509" s="68"/>
      <c r="I509" s="68"/>
      <c r="J509" s="32"/>
    </row>
    <row r="510" spans="1:11" ht="15" customHeight="1" x14ac:dyDescent="0.2">
      <c r="A510" s="69"/>
      <c r="B510" s="66"/>
      <c r="C510" s="66"/>
      <c r="D510" s="71"/>
      <c r="E510" s="66"/>
      <c r="F510" s="66"/>
      <c r="G510" s="67"/>
      <c r="H510" s="68"/>
      <c r="J510" s="32"/>
    </row>
    <row r="511" spans="1:11" ht="17.25" customHeight="1" x14ac:dyDescent="0.2">
      <c r="A511" s="69"/>
      <c r="B511" s="66"/>
      <c r="C511" s="66"/>
      <c r="D511" s="70"/>
      <c r="E511" s="66"/>
      <c r="F511" s="66"/>
      <c r="G511" s="67"/>
      <c r="H511" s="68"/>
      <c r="I511" s="68"/>
    </row>
    <row r="512" spans="1:11" ht="21" customHeight="1" x14ac:dyDescent="0.2">
      <c r="A512" s="69"/>
      <c r="B512" s="66"/>
      <c r="C512" s="66"/>
      <c r="D512" s="70"/>
      <c r="E512" s="66"/>
      <c r="F512" s="66"/>
      <c r="G512" s="67"/>
      <c r="H512" s="68"/>
      <c r="I512" s="68"/>
      <c r="J512"/>
    </row>
    <row r="513" spans="1:10" ht="21" customHeight="1" x14ac:dyDescent="0.2">
      <c r="A513" s="69"/>
      <c r="B513" s="66"/>
      <c r="C513" s="66"/>
      <c r="D513" s="70"/>
      <c r="E513" s="66"/>
      <c r="F513" s="66"/>
      <c r="G513" s="67"/>
      <c r="H513" s="68"/>
      <c r="I513" s="68"/>
    </row>
    <row r="514" spans="1:10" ht="17.25" customHeight="1" x14ac:dyDescent="0.2">
      <c r="A514" s="69"/>
      <c r="B514" s="66"/>
      <c r="C514" s="66"/>
      <c r="D514" s="70"/>
      <c r="E514" s="66"/>
      <c r="F514" s="66"/>
      <c r="G514" s="67"/>
      <c r="H514" s="64"/>
      <c r="I514" s="46"/>
      <c r="J514" s="32"/>
    </row>
    <row r="515" spans="1:10" ht="15" customHeight="1" x14ac:dyDescent="0.2">
      <c r="A515" s="69"/>
      <c r="B515" s="66"/>
      <c r="C515" s="66"/>
      <c r="D515" s="70"/>
      <c r="E515" s="66"/>
      <c r="F515" s="66"/>
      <c r="G515" s="67"/>
      <c r="H515" s="32"/>
      <c r="J515"/>
    </row>
    <row r="516" spans="1:10" ht="21" customHeight="1" x14ac:dyDescent="0.2">
      <c r="A516" s="69"/>
      <c r="B516" s="66"/>
      <c r="C516" s="66"/>
      <c r="D516" s="70"/>
      <c r="E516" s="70"/>
      <c r="F516" s="66"/>
      <c r="G516" s="67"/>
      <c r="H516" s="68"/>
      <c r="I516" s="68"/>
    </row>
    <row r="517" spans="1:10" x14ac:dyDescent="0.2">
      <c r="A517" s="69"/>
      <c r="B517" s="66"/>
      <c r="C517" s="66"/>
      <c r="D517" s="66"/>
      <c r="E517" s="66"/>
      <c r="F517" s="66"/>
      <c r="G517" s="67"/>
      <c r="H517" s="68"/>
      <c r="I517" s="68"/>
    </row>
    <row r="518" spans="1:10" ht="20.25" customHeight="1" x14ac:dyDescent="0.2">
      <c r="A518" s="69"/>
      <c r="B518" s="66"/>
      <c r="C518" s="71"/>
      <c r="D518" s="71"/>
      <c r="E518" s="66"/>
      <c r="F518" s="66"/>
      <c r="G518" s="67"/>
      <c r="H518" s="68"/>
    </row>
    <row r="519" spans="1:10" ht="15" customHeight="1" x14ac:dyDescent="0.2">
      <c r="A519" s="69"/>
      <c r="B519" s="66"/>
      <c r="C519" s="66"/>
      <c r="D519" s="70"/>
      <c r="E519" s="66"/>
      <c r="F519" s="66"/>
      <c r="G519" s="67"/>
      <c r="H519" s="68"/>
      <c r="I519" s="68"/>
      <c r="J519"/>
    </row>
    <row r="520" spans="1:10" x14ac:dyDescent="0.2">
      <c r="A520" s="69"/>
      <c r="B520" s="66"/>
      <c r="C520" s="66"/>
      <c r="D520" s="70"/>
      <c r="E520" s="66"/>
      <c r="F520" s="66"/>
      <c r="G520" s="67"/>
      <c r="H520" s="68"/>
      <c r="I520" s="68"/>
      <c r="J520"/>
    </row>
    <row r="521" spans="1:10" x14ac:dyDescent="0.2">
      <c r="A521" s="69"/>
      <c r="B521" s="66"/>
      <c r="C521" s="66"/>
      <c r="D521" s="66"/>
      <c r="E521" s="66"/>
      <c r="F521" s="66"/>
      <c r="G521" s="67"/>
      <c r="H521" s="68"/>
      <c r="I521" s="68"/>
    </row>
    <row r="522" spans="1:10" ht="15" customHeight="1" x14ac:dyDescent="0.2">
      <c r="A522" s="72"/>
      <c r="B522" s="73"/>
      <c r="C522" s="73"/>
      <c r="D522" s="74"/>
      <c r="E522" s="73"/>
      <c r="F522" s="73"/>
      <c r="G522" s="75"/>
      <c r="H522" s="76"/>
      <c r="I522" s="76"/>
    </row>
    <row r="523" spans="1:10" ht="21" customHeight="1" x14ac:dyDescent="0.2">
      <c r="A523" s="69"/>
      <c r="B523" s="66"/>
      <c r="C523" s="66"/>
      <c r="D523" s="70"/>
      <c r="E523" s="66"/>
      <c r="F523" s="66"/>
      <c r="G523" s="67"/>
      <c r="H523" s="68"/>
      <c r="I523" s="68"/>
      <c r="J523"/>
    </row>
    <row r="524" spans="1:10" x14ac:dyDescent="0.2">
      <c r="A524" s="77"/>
      <c r="B524" s="78"/>
      <c r="C524" s="78"/>
      <c r="D524" s="78"/>
      <c r="E524" s="78"/>
      <c r="F524" s="78"/>
      <c r="G524" s="79"/>
      <c r="H524" s="64"/>
      <c r="I524" s="68"/>
      <c r="J524"/>
    </row>
    <row r="525" spans="1:10" ht="17.25" customHeight="1" x14ac:dyDescent="0.2">
      <c r="A525" s="69"/>
      <c r="B525" s="66"/>
      <c r="C525" s="66"/>
      <c r="D525" s="71"/>
      <c r="E525" s="66"/>
      <c r="F525" s="66"/>
      <c r="G525" s="67"/>
      <c r="H525" s="68"/>
      <c r="J525"/>
    </row>
    <row r="526" spans="1:10" ht="17.25" customHeight="1" x14ac:dyDescent="0.2">
      <c r="A526" s="69"/>
      <c r="B526" s="66"/>
      <c r="C526" s="66"/>
      <c r="D526" s="71"/>
      <c r="E526" s="66"/>
      <c r="F526" s="66"/>
      <c r="G526" s="67"/>
      <c r="H526" s="68"/>
      <c r="J526"/>
    </row>
    <row r="527" spans="1:10" ht="13.5" customHeight="1" x14ac:dyDescent="0.2">
      <c r="A527" s="69"/>
      <c r="B527" s="66"/>
      <c r="C527" s="80"/>
      <c r="D527" s="71"/>
      <c r="E527" s="71"/>
      <c r="F527" s="71"/>
      <c r="G527" s="67"/>
      <c r="H527" s="68"/>
      <c r="I527" s="68"/>
    </row>
    <row r="528" spans="1:10" ht="21.75" customHeight="1" x14ac:dyDescent="0.2">
      <c r="A528" s="69"/>
      <c r="B528" s="66"/>
      <c r="C528" s="71"/>
      <c r="D528" s="71"/>
      <c r="E528" s="66"/>
      <c r="F528" s="70"/>
      <c r="G528" s="67"/>
      <c r="H528" s="68"/>
    </row>
    <row r="529" spans="1:11" ht="15.75" customHeight="1" x14ac:dyDescent="0.2">
      <c r="A529" s="69"/>
      <c r="B529" s="66"/>
      <c r="C529" s="66"/>
      <c r="D529" s="71"/>
      <c r="E529" s="66"/>
      <c r="F529" s="66"/>
      <c r="G529" s="67"/>
      <c r="H529" s="68"/>
      <c r="J529"/>
    </row>
    <row r="530" spans="1:11" ht="15.75" customHeight="1" x14ac:dyDescent="0.2">
      <c r="A530" s="69"/>
      <c r="B530" s="66"/>
      <c r="C530" s="66"/>
      <c r="D530" s="71"/>
      <c r="E530" s="66"/>
      <c r="F530" s="66"/>
      <c r="G530" s="67"/>
      <c r="H530" s="68"/>
      <c r="I530" s="68"/>
      <c r="J530"/>
    </row>
    <row r="531" spans="1:11" ht="13.5" customHeight="1" x14ac:dyDescent="0.2">
      <c r="A531" s="69"/>
      <c r="B531" s="66"/>
      <c r="C531" s="66"/>
      <c r="D531" s="70"/>
      <c r="E531" s="66"/>
      <c r="F531" s="66"/>
      <c r="G531" s="67"/>
      <c r="H531" s="68"/>
      <c r="I531" s="46"/>
      <c r="J531" s="32"/>
    </row>
    <row r="532" spans="1:11" ht="15.75" customHeight="1" x14ac:dyDescent="0.2">
      <c r="A532" s="69"/>
      <c r="B532" s="66"/>
      <c r="C532" s="66"/>
      <c r="D532" s="71"/>
      <c r="E532" s="66"/>
      <c r="F532" s="66"/>
      <c r="G532" s="67"/>
      <c r="H532" s="68"/>
      <c r="J532"/>
    </row>
    <row r="533" spans="1:11" ht="12.75" customHeight="1" x14ac:dyDescent="0.2">
      <c r="A533" s="69"/>
      <c r="B533" s="66"/>
      <c r="C533" s="66"/>
      <c r="D533" s="70"/>
      <c r="E533" s="66"/>
      <c r="F533" s="66"/>
      <c r="G533" s="67"/>
      <c r="H533" s="68"/>
      <c r="I533" s="68"/>
      <c r="J533"/>
    </row>
    <row r="534" spans="1:11" x14ac:dyDescent="0.2">
      <c r="A534" s="69"/>
      <c r="B534" s="66"/>
      <c r="C534" s="66"/>
      <c r="D534" s="66"/>
      <c r="E534" s="66"/>
      <c r="F534" s="66"/>
      <c r="G534" s="67"/>
      <c r="H534" s="68"/>
      <c r="I534" s="68"/>
    </row>
    <row r="535" spans="1:11" ht="15.75" customHeight="1" x14ac:dyDescent="0.2">
      <c r="A535" s="69"/>
      <c r="B535" s="66"/>
      <c r="C535" s="66"/>
      <c r="D535" s="66"/>
      <c r="E535" s="71"/>
      <c r="F535" s="71"/>
      <c r="G535" s="67"/>
      <c r="H535" s="68"/>
      <c r="I535" s="68"/>
      <c r="K535" s="55"/>
    </row>
    <row r="536" spans="1:11" ht="13.5" customHeight="1" x14ac:dyDescent="0.2">
      <c r="A536" s="69"/>
      <c r="B536" s="80"/>
      <c r="C536" s="66"/>
      <c r="D536" s="71"/>
      <c r="E536" s="66"/>
      <c r="F536" s="66"/>
      <c r="G536" s="67"/>
    </row>
    <row r="537" spans="1:11" ht="13.5" customHeight="1" x14ac:dyDescent="0.2">
      <c r="A537" s="69"/>
      <c r="B537" s="66"/>
      <c r="C537" s="66"/>
      <c r="D537" s="70"/>
      <c r="E537" s="70"/>
      <c r="F537" s="66"/>
      <c r="G537" s="67"/>
      <c r="H537" s="68"/>
      <c r="I537" s="68"/>
    </row>
    <row r="538" spans="1:11" ht="12.75" customHeight="1" x14ac:dyDescent="0.2">
      <c r="A538" s="69"/>
      <c r="B538" s="66"/>
      <c r="C538" s="66"/>
      <c r="D538" s="70"/>
      <c r="E538" s="66"/>
      <c r="F538" s="66"/>
      <c r="G538" s="67"/>
      <c r="H538" s="68"/>
      <c r="I538" s="68"/>
      <c r="J538"/>
    </row>
    <row r="539" spans="1:11" ht="15.75" customHeight="1" x14ac:dyDescent="0.2">
      <c r="A539" s="69"/>
      <c r="B539" s="66"/>
      <c r="C539" s="66"/>
      <c r="D539" s="70"/>
      <c r="E539" s="66"/>
      <c r="F539" s="70"/>
      <c r="G539" s="66"/>
      <c r="H539" s="68"/>
      <c r="I539" s="68"/>
      <c r="J539"/>
    </row>
    <row r="540" spans="1:11" x14ac:dyDescent="0.2">
      <c r="A540" s="69"/>
      <c r="B540" s="81"/>
      <c r="C540" s="82"/>
      <c r="D540" s="66"/>
      <c r="E540" s="66"/>
      <c r="F540" s="66"/>
      <c r="G540" s="66"/>
      <c r="H540" s="68"/>
      <c r="I540" s="68"/>
      <c r="J540"/>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zoomScale="89" zoomScaleNormal="89" workbookViewId="0">
      <selection activeCell="A7" sqref="A7"/>
    </sheetView>
  </sheetViews>
  <sheetFormatPr baseColWidth="10" defaultColWidth="8.85546875" defaultRowHeight="12.75" x14ac:dyDescent="0.2"/>
  <sheetData>
    <row r="1" spans="1:1" x14ac:dyDescent="0.2">
      <c r="A1" t="s">
        <v>1545</v>
      </c>
    </row>
    <row r="2" spans="1:1" x14ac:dyDescent="0.2">
      <c r="A2" t="s">
        <v>1546</v>
      </c>
    </row>
    <row r="3" spans="1:1" x14ac:dyDescent="0.2">
      <c r="A3" t="s">
        <v>1547</v>
      </c>
    </row>
    <row r="4" spans="1:1" x14ac:dyDescent="0.2">
      <c r="A4" t="s">
        <v>1548</v>
      </c>
    </row>
    <row r="5" spans="1:1" x14ac:dyDescent="0.2">
      <c r="A5" t="s">
        <v>1549</v>
      </c>
    </row>
    <row r="7" spans="1:1" x14ac:dyDescent="0.2">
      <c r="A7" t="s">
        <v>1550</v>
      </c>
    </row>
    <row r="8" spans="1:1" x14ac:dyDescent="0.2">
      <c r="A8" t="s">
        <v>1551</v>
      </c>
    </row>
    <row r="9" spans="1:1" x14ac:dyDescent="0.2">
      <c r="A9" t="s">
        <v>1552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Hoja1</vt:lpstr>
      <vt:lpstr>Hoja2</vt:lpstr>
      <vt:lpstr>Hoja4</vt:lpstr>
      <vt:lpstr>Hoja5</vt:lpstr>
      <vt:lpstr>Hoja6</vt:lpstr>
      <vt:lpstr>Hoja1!Área_de_impresión</vt:lpstr>
      <vt:lpstr>Hoja5!Excel_BuiltIn__FilterDatabase</vt:lpstr>
      <vt:lpstr>Hoja1!Excel_BuiltIn_Print_Area</vt:lpstr>
      <vt:lpstr>Hoja1!Títulos_a_imprimir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Salgado Nolivos</dc:creator>
  <cp:lastModifiedBy>Johanna Delgado Infante</cp:lastModifiedBy>
  <cp:lastPrinted>2024-02-02T16:05:35Z</cp:lastPrinted>
  <dcterms:created xsi:type="dcterms:W3CDTF">2023-08-02T15:19:49Z</dcterms:created>
  <dcterms:modified xsi:type="dcterms:W3CDTF">2025-01-29T21:23:20Z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2023-08-01T13:10:01Z</dcterms:created>
  <dc:creator>Asamblea Nacional</dc:creator>
  <dc:description/>
  <dc:language>es-EC</dc:language>
  <cp:lastModifiedBy/>
  <dcterms:modified xsi:type="dcterms:W3CDTF">2023-08-01T08:26:35Z</dcterms:modified>
  <cp:revision>3</cp:revision>
  <dc:subject/>
  <dc:title/>
</cp:coreProperties>
</file>