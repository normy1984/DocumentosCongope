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6" Type="http://schemas.openxmlformats.org/officedocument/2006/relationships/metadata/core-properties" Target="docProps/core0.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congopegobec-my.sharepoint.com/personal/msalgado_congope_gob_ec/Documents/CONGOPE 1/CONGOPE 2025/EVALUACIÓN DEL DESEMPEÑO 2025/"/>
    </mc:Choice>
  </mc:AlternateContent>
  <xr:revisionPtr revIDLastSave="74" documentId="8_{185D7BF9-B4F6-4A25-A1F6-96AFB3264F13}" xr6:coauthVersionLast="47" xr6:coauthVersionMax="47" xr10:uidLastSave="{E3BF4619-FAD0-4CAF-AE7D-467AC50E927E}"/>
  <workbookProtection workbookAlgorithmName="SHA-512" workbookHashValue="GI6tUJtrQajYTyBFQ0UOiZknnzOkVHYRMPbiEHSsz+rR7cjgafrvpviClHqosclygRnE3yxjYde8nd4qlwCw8A==" workbookSaltValue="f6njkID0t5fodn40ueXF8g==" workbookSpinCount="100000" lockStructure="1"/>
  <bookViews>
    <workbookView xWindow="-120" yWindow="-120" windowWidth="20730" windowHeight="11160" tabRatio="670" xr2:uid="{00000000-000D-0000-FFFF-FFFF00000000}"/>
  </bookViews>
  <sheets>
    <sheet name="Formulario" sheetId="1" r:id="rId1"/>
    <sheet name="Tecnicas" sheetId="2" state="hidden" r:id="rId2"/>
    <sheet name="NOTA" sheetId="5" state="hidden" r:id="rId3"/>
    <sheet name="Hoja6" sheetId="6" state="hidden" r:id="rId4"/>
  </sheets>
  <externalReferences>
    <externalReference r:id="rId5"/>
  </externalReferences>
  <definedNames>
    <definedName name="Excel_BuiltIn__FilterDatabase" localSheetId="0">Formulario!$Q$31:$Q$34</definedName>
    <definedName name="Print_Area" localSheetId="0">Formulario!$B$1:$K$80</definedName>
    <definedName name="Print_Area" localSheetId="1">Tecnicas!$A$1:$D$59</definedName>
    <definedName name="Print_Titles" localSheetId="1">Tecnicas!$1:$4</definedName>
    <definedName name="_xlnm.Print_Titles" localSheetId="0">Formulario!$1:$1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H10" i="1" l="1"/>
  <c r="J10" i="1" s="1"/>
  <c r="H11" i="1"/>
  <c r="J11" i="1" s="1"/>
  <c r="H12" i="1"/>
  <c r="J12" i="1" s="1"/>
  <c r="H13" i="1"/>
  <c r="J13" i="1" s="1"/>
  <c r="H14" i="1"/>
  <c r="J14" i="1" s="1"/>
  <c r="F26" i="1" l="1"/>
  <c r="J26" i="1"/>
  <c r="F27" i="1"/>
  <c r="J27" i="1"/>
  <c r="F28" i="1"/>
  <c r="J28" i="1"/>
  <c r="F29" i="1"/>
  <c r="J29" i="1"/>
  <c r="F30" i="1"/>
  <c r="J30" i="1"/>
  <c r="D44" i="1"/>
  <c r="D45" i="1"/>
  <c r="D47" i="1"/>
  <c r="F40" i="1"/>
  <c r="F39" i="1"/>
  <c r="F38" i="1"/>
  <c r="F37" i="1"/>
  <c r="F36" i="1"/>
  <c r="F35" i="1"/>
  <c r="J19" i="1"/>
  <c r="L19" i="1" s="1"/>
  <c r="I19" i="1"/>
  <c r="J18" i="1"/>
  <c r="I18" i="1"/>
  <c r="J17" i="1"/>
  <c r="I17" i="1"/>
  <c r="J36" i="1"/>
  <c r="L36" i="1" s="1"/>
  <c r="J37" i="1"/>
  <c r="L37" i="1" s="1"/>
  <c r="J38" i="1"/>
  <c r="L38" i="1" s="1"/>
  <c r="J39" i="1"/>
  <c r="L39" i="1" s="1"/>
  <c r="J40" i="1"/>
  <c r="L40" i="1" s="1"/>
  <c r="J35" i="1"/>
  <c r="L35" i="1" s="1"/>
  <c r="F72" i="1" l="1"/>
  <c r="B72" i="1"/>
  <c r="Q10" i="1"/>
  <c r="K56" i="1" l="1"/>
  <c r="K55" i="1"/>
  <c r="K54" i="1"/>
  <c r="M47" i="1"/>
  <c r="J47" i="1"/>
  <c r="N47" i="1" s="1"/>
  <c r="N46" i="1"/>
  <c r="M45" i="1"/>
  <c r="J45" i="1"/>
  <c r="N45" i="1" s="1"/>
  <c r="M44" i="1"/>
  <c r="J44" i="1"/>
  <c r="L44" i="1" s="1"/>
  <c r="M40" i="1"/>
  <c r="M39" i="1"/>
  <c r="M38" i="1"/>
  <c r="M37" i="1"/>
  <c r="M36" i="1"/>
  <c r="M35" i="1"/>
  <c r="M30" i="1"/>
  <c r="L30" i="1"/>
  <c r="M29" i="1"/>
  <c r="L29" i="1"/>
  <c r="M28" i="1"/>
  <c r="L28" i="1"/>
  <c r="M27" i="1"/>
  <c r="L27" i="1"/>
  <c r="M26" i="1"/>
  <c r="L26" i="1"/>
  <c r="M22" i="1"/>
  <c r="J22" i="1"/>
  <c r="L22" i="1" s="1"/>
  <c r="I22" i="1"/>
  <c r="M21" i="1"/>
  <c r="J21" i="1"/>
  <c r="I21" i="1"/>
  <c r="M20" i="1"/>
  <c r="J20" i="1"/>
  <c r="L20" i="1" s="1"/>
  <c r="I20" i="1"/>
  <c r="M19" i="1"/>
  <c r="M18" i="1"/>
  <c r="M17" i="1"/>
  <c r="Q14" i="1"/>
  <c r="N14" i="1"/>
  <c r="O14" i="1" s="1"/>
  <c r="M14" i="1"/>
  <c r="L14" i="1"/>
  <c r="Q13" i="1"/>
  <c r="N13" i="1"/>
  <c r="O13" i="1" s="1"/>
  <c r="M13" i="1"/>
  <c r="K13" i="1"/>
  <c r="Q12" i="1"/>
  <c r="N12" i="1"/>
  <c r="O12" i="1" s="1"/>
  <c r="M12" i="1"/>
  <c r="K12" i="1"/>
  <c r="Q11" i="1"/>
  <c r="N11" i="1"/>
  <c r="O11" i="1" s="1"/>
  <c r="M11" i="1"/>
  <c r="K11" i="1"/>
  <c r="N10" i="1"/>
  <c r="O10" i="1" s="1"/>
  <c r="M10" i="1"/>
  <c r="K10" i="1"/>
  <c r="C6" i="1"/>
  <c r="D73" i="1"/>
  <c r="G69" i="1"/>
  <c r="C3" i="1"/>
  <c r="C2" i="1"/>
  <c r="L21" i="1" l="1"/>
  <c r="L17" i="1"/>
  <c r="K57" i="1"/>
  <c r="K65" i="1" s="1"/>
  <c r="M48" i="1"/>
  <c r="L18" i="1"/>
  <c r="L47" i="1"/>
  <c r="N44" i="1"/>
  <c r="N42" i="1" s="1"/>
  <c r="M24" i="1"/>
  <c r="F24" i="1" s="1"/>
  <c r="L24" i="1" s="1"/>
  <c r="K14" i="1"/>
  <c r="L12" i="1"/>
  <c r="M32" i="1"/>
  <c r="L32" i="1" s="1"/>
  <c r="K41" i="1" s="1"/>
  <c r="M16" i="1"/>
  <c r="E16" i="1" s="1"/>
  <c r="L10" i="1"/>
  <c r="M9" i="1"/>
  <c r="F8" i="1" s="1"/>
  <c r="L45" i="1"/>
  <c r="L11" i="1"/>
  <c r="L13" i="1"/>
  <c r="N22" i="1" l="1"/>
  <c r="N21" i="1"/>
  <c r="N26" i="1"/>
  <c r="N20" i="1"/>
  <c r="N19" i="1"/>
  <c r="N30" i="1"/>
  <c r="N29" i="1"/>
  <c r="N28" i="1"/>
  <c r="N27" i="1"/>
  <c r="L42" i="1"/>
  <c r="K48" i="1" s="1"/>
  <c r="N18" i="1"/>
  <c r="L16" i="1"/>
  <c r="N17" i="1"/>
  <c r="R14" i="1"/>
  <c r="R13" i="1"/>
  <c r="R11" i="1"/>
  <c r="R12" i="1"/>
  <c r="F32" i="1"/>
  <c r="L9" i="1"/>
  <c r="R10" i="1"/>
  <c r="K63" i="1"/>
  <c r="N24" i="1" l="1"/>
  <c r="K62" i="1" s="1"/>
  <c r="K64" i="1"/>
  <c r="N16" i="1"/>
  <c r="K61" i="1" s="1"/>
  <c r="R9" i="1"/>
  <c r="K60" i="1" s="1"/>
  <c r="K31" i="1" l="1"/>
  <c r="K23" i="1"/>
  <c r="L65" i="1"/>
  <c r="B67" i="1" s="1"/>
  <c r="J15" i="1"/>
  <c r="B66" i="1" l="1"/>
</calcChain>
</file>

<file path=xl/sharedStrings.xml><?xml version="1.0" encoding="utf-8"?>
<sst xmlns="http://schemas.openxmlformats.org/spreadsheetml/2006/main" count="353" uniqueCount="307">
  <si>
    <t>UNIDAD ADMINISTRATIVA</t>
  </si>
  <si>
    <t>FECHA DEL FORMULARIO</t>
  </si>
  <si>
    <t>EVALUACIÓN DE LAS ACTIVIDADES DEL PUESTO</t>
  </si>
  <si>
    <t>INDICADORES DE GESTIÓN DEL PUESTO:</t>
  </si>
  <si>
    <t># Actividades:</t>
  </si>
  <si>
    <t xml:space="preserve">Factor:  </t>
  </si>
  <si>
    <t>VALOR FACTOR</t>
  </si>
  <si>
    <t>NUMERO ACTIVIDADES</t>
  </si>
  <si>
    <t>Descripción de Actividades</t>
  </si>
  <si>
    <t>Indicador</t>
  </si>
  <si>
    <t>Meta del Período Evaluado (número)</t>
  </si>
  <si>
    <t>Cumplidos</t>
  </si>
  <si>
    <t>% de Cumplimiento</t>
  </si>
  <si>
    <t>Nivel de Cumplimiento</t>
  </si>
  <si>
    <t>X</t>
  </si>
  <si>
    <t>Y</t>
  </si>
  <si>
    <t xml:space="preserve"> </t>
  </si>
  <si>
    <t xml:space="preserve">Total Actividades Esenciales:       </t>
  </si>
  <si>
    <t>CONOCIMIENTOS</t>
  </si>
  <si>
    <t># Conocimientos:</t>
  </si>
  <si>
    <t>Factor:</t>
  </si>
  <si>
    <t>Nivel requerido</t>
  </si>
  <si>
    <t>Nivel observado</t>
  </si>
  <si>
    <t xml:space="preserve">Total Conocimientos:     </t>
  </si>
  <si>
    <t>COMPETENCIAS TÉCNICAS DEL PUESTO</t>
  </si>
  <si>
    <t># Competencias:</t>
  </si>
  <si>
    <t>DESTREZAS</t>
  </si>
  <si>
    <t>Relevancia</t>
  </si>
  <si>
    <t>Comportamiento Observable</t>
  </si>
  <si>
    <t>Nivel de Desarrollo</t>
  </si>
  <si>
    <t xml:space="preserve">Total Competencias Técnicas del Puesto :     </t>
  </si>
  <si>
    <t>COMPETENCIAS CONDUCTUALES</t>
  </si>
  <si>
    <t>DESTREZA</t>
  </si>
  <si>
    <t>Frecuencia de Aplicación</t>
  </si>
  <si>
    <t>APRENDIZAJE CONTINUO</t>
  </si>
  <si>
    <t>CONOCIMIENTOS DEL ENTORNO ORGANIZACIONAL</t>
  </si>
  <si>
    <t>RELACIONES HUMANAS</t>
  </si>
  <si>
    <t>ACTITUD AL CAMBIO</t>
  </si>
  <si>
    <t>ORIENTACIÓN A LOS RESULTADOS</t>
  </si>
  <si>
    <t>ORIENTACIÓN DE SERVICIO</t>
  </si>
  <si>
    <t xml:space="preserve">Total Competencias Universales: </t>
  </si>
  <si>
    <t>TRABAJO EN EQUIPO, INICIATIVA Y LIDERAZGO</t>
  </si>
  <si>
    <t>DESCRIPCIÓN</t>
  </si>
  <si>
    <t>RELEVANCIA</t>
  </si>
  <si>
    <t>COMPORTAMIENTO OBSERVABLE</t>
  </si>
  <si>
    <t>TRABAJO EN EQUIPO</t>
  </si>
  <si>
    <t xml:space="preserve"> INICIATIVA</t>
  </si>
  <si>
    <t>LLENAR EL CAMPO DE LIDERAZGO, SOLO PARA QUIENES TENGAN SERVIDORES SUBORDINADOS BAJO SU RESPONSABILIDAD DE GESTIÓN.</t>
  </si>
  <si>
    <t>LIDERAZGO</t>
  </si>
  <si>
    <t xml:space="preserve">Total Trabajo en Equipo, Iniciativa y Liderazgo: </t>
  </si>
  <si>
    <t>OBSERVACIONES DEL JEFE INMEDIATO (EN CASO DE QUE LAS TENGA):</t>
  </si>
  <si>
    <t>Nombre de la persona que realiza la queja</t>
  </si>
  <si>
    <t>No. DE FORMULARIO</t>
  </si>
  <si>
    <t>APLICA DESCUENTO A LA EVALUACIÓN DEL DESEMPEÑO</t>
  </si>
  <si>
    <t>% DE REDUCCIÓN</t>
  </si>
  <si>
    <t xml:space="preserve">TOTAL:          </t>
  </si>
  <si>
    <t>RESULTADO DE LA EVALUACIÓN</t>
  </si>
  <si>
    <t>FACTORES DE EVALUACIÓN</t>
  </si>
  <si>
    <t>CALIFICACIÓN ALCANZADA (%)</t>
  </si>
  <si>
    <t>Indicadores de Gestión del puesto</t>
  </si>
  <si>
    <t>Conocimientos</t>
  </si>
  <si>
    <t>Competencias técnicas del puesto</t>
  </si>
  <si>
    <t>Competencias Universales</t>
  </si>
  <si>
    <t>Trabajo en equipo, Iniciativa y Liderazgo</t>
  </si>
  <si>
    <t>Evaluación del ciudadano ( - )</t>
  </si>
  <si>
    <t>FUNCIONARIO (A) EVALUADOR (A)</t>
  </si>
  <si>
    <t>Fecha (dd/mm/aaaa):</t>
  </si>
  <si>
    <r>
      <rPr>
        <b/>
        <sz val="8"/>
        <color rgb="FF000080"/>
        <rFont val="Arial"/>
        <family val="2"/>
      </rPr>
      <t>CERTIFICO:</t>
    </r>
    <r>
      <rPr>
        <sz val="8"/>
        <color rgb="FF000080"/>
        <rFont val="Arial"/>
        <family val="2"/>
      </rPr>
      <t xml:space="preserve"> Que he evaluado al (a la) servidor (a)  acorde al procedimiento de la norma de Evaluación del Desempeño.</t>
    </r>
  </si>
  <si>
    <t>CATÁLOGO DE COMPETENCIAS TÉCNICAS DEL PUESTO</t>
  </si>
  <si>
    <t>DESTREZA HABILIDAD</t>
  </si>
  <si>
    <t>RELEVANCIA DEL COMPORTAMIENTO OBSERVABLE</t>
  </si>
  <si>
    <t>ALTA</t>
  </si>
  <si>
    <t>MEDIA</t>
  </si>
  <si>
    <t>BAJA</t>
  </si>
  <si>
    <t>Análisis de operaciones</t>
  </si>
  <si>
    <t>Identificar el sistema de control requerido por una nueva unidad organizacional</t>
  </si>
  <si>
    <t>Sugerir cambios en un programa de computación para que su uso resulte más fácil al usuario.</t>
  </si>
  <si>
    <t>Seleccionar un equipo para la oficina</t>
  </si>
  <si>
    <t>Comprensión escrita</t>
  </si>
  <si>
    <t xml:space="preserve">Lee y comprende documentos de alta complejidad. Elabora propuestas de solución o mejoramiento sobre la base del nivel de comprensión  </t>
  </si>
  <si>
    <t xml:space="preserve">Lee y comprende documentos de complejidad media, y posteriormente presenta informes. </t>
  </si>
  <si>
    <t xml:space="preserve">Lee y comprende la información sencilla que se le presenta en forma escrita y realiza las acciones pertinentes que indican el nivel de comprensión. </t>
  </si>
  <si>
    <t>Comprensión oral</t>
  </si>
  <si>
    <t>Comprende las ideas presentadas en forma oral en las reuniones de trabajo  y desarrolla propuestas en base a los requerimientos.</t>
  </si>
  <si>
    <t xml:space="preserve">Escucha y comprende los requerimientos de los usuario internos y externos y elabora informes. </t>
  </si>
  <si>
    <t>Escucha y comprende la información o disposiciones que se le provee y realiza las acciones pertinentes para el cumplimiento.</t>
  </si>
  <si>
    <t>Comprobación</t>
  </si>
  <si>
    <t xml:space="preserve">Realiza pruebas y ensayos de naturaleza compleja para comprobar si un nuevo sistema, equipo o procedimiento técnico - administrativo, funcionará correctamente.    Identifica claramente los errores y propone los correctivos </t>
  </si>
  <si>
    <t>Enciende máquinas o equipos por primera vez para verificar su funcionamiento. Constata la calidad de los productos.</t>
  </si>
  <si>
    <t>Verifica el funcionamiento de máquinas o equipos, frecuentemente.</t>
  </si>
  <si>
    <t>Desarrollo estratégico de los recursos humanos</t>
  </si>
  <si>
    <t>Realiza una proyección de posibles necesidades de recursos humanos considerando distintos escenarios a largo plazo. Tiene un papel activo en la definición de las políticas en función del análisis estratégico.</t>
  </si>
  <si>
    <t>Utiliza herramientas existentes o nuevas en la organización para el desarrollo de los colaboradores en función de las estrategias de la organización. Promueve acciones de desarrollo.</t>
  </si>
  <si>
    <t>Aplica las herramientas de desarrollo disponibles. Define acciones para el desarrollo de las competencias críticas. Esporádicamente hace un seguimiento de las mismas.</t>
  </si>
  <si>
    <t>Destreza matemática</t>
  </si>
  <si>
    <t xml:space="preserve">Desarrolla un modelo matemático para simular y resolver  problemas.  </t>
  </si>
  <si>
    <t xml:space="preserve">Utiliza las matemáticas para realizar cálculos de complejidad media. (Ejemplo liquidaciones, conciliaciones bancarias, etc.) </t>
  </si>
  <si>
    <t>Contar dinero para entregar cambios.</t>
  </si>
  <si>
    <t>Detección de averías</t>
  </si>
  <si>
    <t>Detecta fallas en sistemas o equipos de alta complejidad de operación como por ejemplo, depurar el código de control de un nuevo sistema operativo.</t>
  </si>
  <si>
    <t>Identifica el circuito causante de una falla  eléctrica o de equipos o sistemas de operación compleja.</t>
  </si>
  <si>
    <t>Busca la fuente que ocasiona errores en la operación de máquinas, automóviles y otros equipos de operación sencilla.</t>
  </si>
  <si>
    <t>Diseño de tecnología</t>
  </si>
  <si>
    <t xml:space="preserve">Crea nueva tecnología. </t>
  </si>
  <si>
    <t xml:space="preserve">Diseña los mecanismos de implementación de nuevas tecnologías que permiten mejorar la gestión de la organización. </t>
  </si>
  <si>
    <t>Rediseña el portal Web institucional, base de datos y  otros para mejorar el acceso a la información.</t>
  </si>
  <si>
    <t>Expresión escrita</t>
  </si>
  <si>
    <t>Escribir documentos de complejidad alta, donde se establezcan parámetros que tengan impacto directo sobre el funcionamiento de una organización, proyectos u otros. Ejemplo (Informes de procesos legales, técnicos, administrativos)</t>
  </si>
  <si>
    <t>Escribir documentos de mediana complejidad, ejemplo (oficios, circulares)</t>
  </si>
  <si>
    <t xml:space="preserve">Escribir documentos sencillos en forma clara y concisa. Ejemplo (memorando) </t>
  </si>
  <si>
    <t>Expresión oral</t>
  </si>
  <si>
    <t xml:space="preserve">Expone  programas, proyectos y otros ante las autoridades  y personal de otras instituciones. </t>
  </si>
  <si>
    <t>Comunica información relevante. Organiza la información para que sea comprensible a los receptores.</t>
  </si>
  <si>
    <t xml:space="preserve">Comunica en forma clara y oportuna información sencilla. </t>
  </si>
  <si>
    <t>Generación de ideas</t>
  </si>
  <si>
    <t>Desarrolla planes, programas o proyectos alternativos para solucionar problemas estratégicos organizacionales.</t>
  </si>
  <si>
    <t>Desarrolla estrategias para la optimización de los recursos humanos, materiales y económicos.</t>
  </si>
  <si>
    <t>Encuentra procedimientos alternativos para apoyar en la entrega de productos o servicios a los usuarios.</t>
  </si>
  <si>
    <t>Habilidad analítica (análisis de prioridad, criterio lógico, sentido común)</t>
  </si>
  <si>
    <t xml:space="preserve">Realiza análisis lógicos para identificar los problemas fundamentales de la organización. </t>
  </si>
  <si>
    <t>Reconoce la información significativa, busca y coordina los datos relevantes para el desarrollo de programas y proyectos.</t>
  </si>
  <si>
    <t xml:space="preserve">Presenta datos estadísticos y/o financieros. </t>
  </si>
  <si>
    <t>Identificación de problemas</t>
  </si>
  <si>
    <t xml:space="preserve">Identifica los problemas que impiden el cumplimiento de los objetivos y metas planteados en el plan operativo institucional y redefine las estrategias. </t>
  </si>
  <si>
    <t>Identifica los problemas en la entrega de los productos o servicios que genera la unidad o proceso</t>
  </si>
  <si>
    <t>Compara información sencilla para identificar problemas.</t>
  </si>
  <si>
    <t>Inspección de productos o servicios</t>
  </si>
  <si>
    <t>Establece procedimientos de control de calidad para los productos o servicios que genera la institución.</t>
  </si>
  <si>
    <t>Realiza el control de calidad de los informes técnicos, legales o administrativos para detectar errores. Incluye proponer ajustes.</t>
  </si>
  <si>
    <t>Chequea el borrador de un documento para detectar errores mecanográficos.</t>
  </si>
  <si>
    <t>Instalación</t>
  </si>
  <si>
    <t>Instala maquinarias, programas y equipos de alta complejidad.</t>
  </si>
  <si>
    <t xml:space="preserve">Instala cableados y equipos sencillos. </t>
  </si>
  <si>
    <t xml:space="preserve">Instala piezas sencillas de maquinarias, equipos y otros.  </t>
  </si>
  <si>
    <t>Instrucción</t>
  </si>
  <si>
    <t>Capacita a los colaboradores y compañeros de la institución</t>
  </si>
  <si>
    <t>Instruye sobre procedimientos técnicos, legales o administrativos a los compañeros de la unidad o proceso .</t>
  </si>
  <si>
    <t xml:space="preserve">Instruye a un compañero sobre la forma de operar un programa de computación. </t>
  </si>
  <si>
    <t>Juicio y toma de decisiones</t>
  </si>
  <si>
    <t>Toma decisiones de complejidad alta sobre la base de la misión y objetivos de la institución, y de la satisfacción del problema del usuario. Idea soluciones a problemáticas futuras de la institución.</t>
  </si>
  <si>
    <t xml:space="preserve">Toma decisiones de complejidad media sobre la base de sus conocimientos, de los productos o servicios de la unidad o proceso organizacional, y de la experiencia previa.  </t>
  </si>
  <si>
    <t>Toma decisiones de complejidad baja, las situaciones que se presentan permiten comparar patrones de hechos ocurridos con anterioridad.</t>
  </si>
  <si>
    <t>Manejo de recursos financieros</t>
  </si>
  <si>
    <t>Planifica y aprueba el presupuesto anual de una institución o de un proyecto a largo plazo. Incluye gestionar el financiamiento necesario.</t>
  </si>
  <si>
    <t>Prepara y maneja el presupuesto de un proyecto a corto plazo .</t>
  </si>
  <si>
    <t>Utiliza dinero de caja chica para adquirir suministros de oficina y lleva un registro de los gastos.</t>
  </si>
  <si>
    <t>Manejo de recursos materiales</t>
  </si>
  <si>
    <t>Evalúa los contratos de provisión de recursos materiales para la institución.</t>
  </si>
  <si>
    <t>Determina las necesidades de recursos materiales de la institución y controla el uso de los mismos.</t>
  </si>
  <si>
    <t xml:space="preserve">Provee y maneja recursos materiales para las distintas unidades o  procesos organizacionales, así como para determinados eventos. </t>
  </si>
  <si>
    <t>Mantenimiento de equipos</t>
  </si>
  <si>
    <t xml:space="preserve">Implementa programas de mantenimiento preventivo y correctivo. Determina el tipo de mantenimiento  que requieren los equipos  informáticos, maquinarias y otros de las unidades o procesos organizacionales. </t>
  </si>
  <si>
    <t>Depura y actualiza el software de los equipos informáticos. Incluye despejar las partes móviles de los equipos informáticos, maquinarias y otros.</t>
  </si>
  <si>
    <t>Realiza la limpieza de equipos computarizados,  fotocopiadoras y otros equipos.</t>
  </si>
  <si>
    <t>Monitoreo y control</t>
  </si>
  <si>
    <t xml:space="preserve">Desarrolla mecanismos de monitoreo y  control de la eficiencia, eficacia y productividad organizacional. </t>
  </si>
  <si>
    <t xml:space="preserve">Monitorea el progreso de los planes y proyectos de la unidad administrativa y asegura el cumplimiento de los mismos. </t>
  </si>
  <si>
    <t>Analiza y corrige documentos.</t>
  </si>
  <si>
    <t>Operación y control</t>
  </si>
  <si>
    <t>Controla la operación de los sistemas informáticos implementados en la institución. Establece ajustes a las fallas que presenten los sistemas.</t>
  </si>
  <si>
    <t>Opera los sistemas informáticos, redes y otros e implementa los ajustes para solucionar fallas en la operación de los mismos.</t>
  </si>
  <si>
    <t>Ajusta los controles de una máquina copiadora para lograr fotocopias de menor tamaño.</t>
  </si>
  <si>
    <t>Organización de la información</t>
  </si>
  <si>
    <t xml:space="preserve">Define niveles de información para la gestión de una unidad o proceso.  </t>
  </si>
  <si>
    <t xml:space="preserve">Clasifica y captura información técnica para consolidarlos. </t>
  </si>
  <si>
    <t>Clasifica documentos para su registro.</t>
  </si>
  <si>
    <t>Organización de sistemas</t>
  </si>
  <si>
    <t>Diseña o rediseña la estructura, los procesos organizacionales y las atribuciones y responsabilidades de los puestos de trabajo.</t>
  </si>
  <si>
    <t>Diseña o rediseña los procesos de elaboración de los productos o servicios  que generan las unidades organizacionales.</t>
  </si>
  <si>
    <t>Identifica el flujo de trabajo. Propone cambios para agilitar las actividades laborales.</t>
  </si>
  <si>
    <t>Orientación / asesoramiento</t>
  </si>
  <si>
    <t>Asesora a las autoridades de la institución en materia de su competencia, generando políticas y estrategias que permitan tomar decisiones acertadas.</t>
  </si>
  <si>
    <t>Ofrece guías a equipos de trabajo para el desarrollo de planes, programas y otros.</t>
  </si>
  <si>
    <t>Orienta a un compañero en la forma de realizar ciertas actividades de complejidad baja.</t>
  </si>
  <si>
    <t>Pensamiento analítico</t>
  </si>
  <si>
    <t xml:space="preserve"> Realiza análisis extremadamente complejos, organizando y  secuenciando  un problema o situación, estableciendo causas de hecho, o varias consecuencias de acción. Anticipa los obstáculos y planifica los siguientes pasos.</t>
  </si>
  <si>
    <t xml:space="preserve">Establece relaciones causales sencillas para descomponer  los problemas o situaciones en partes. Identifica los pros y los contras de las decisiones. Analiza información  sencilla. </t>
  </si>
  <si>
    <t>Realiza una lista de asuntos a tratar asignando un orden o prioridad determinados. Establece prioridades en las actividades que realiza.</t>
  </si>
  <si>
    <t>Pensamiento conceptual</t>
  </si>
  <si>
    <t>Desarrolla conceptos nuevos para solucionar conflictos o para el desarrollo de proyectos, planes organizacionales y otros . Hace que las situaciones o ideas complejas estén claras, sean simples y comprensibles. Integra ideas, datos clave y observaciones, presentándolos en forma clara y útil.</t>
  </si>
  <si>
    <t xml:space="preserve">Analiza situaciones presentes utilizando los conocimientos teóricos o adquiridos con la experiencia. Utiliza y adapta los conceptos o principios adquiridos  para solucionar problemas en la ejecución de programas, proyectos y otros. </t>
  </si>
  <si>
    <t xml:space="preserve">Utiliza conceptos básicos, sentido común y la experiencias vividas en la solución de problemas inherentes al desarrollo de las actividades del puesto. </t>
  </si>
  <si>
    <t>Pensamiento crítico</t>
  </si>
  <si>
    <t xml:space="preserve">Analiza,  determina y cuestiona la viabilidad de aplicación de leyes, reglamentos, normas, sistemas  y otros, aplicando la lógica. </t>
  </si>
  <si>
    <t xml:space="preserve">Elabora reportes jurídicos, técnicos o administrativos  aplicando el análisis y la lógica. </t>
  </si>
  <si>
    <t>Discrimina y prioriza entre las actividades asignadas aplicando la lógica.</t>
  </si>
  <si>
    <t>Pensamiento estratégico</t>
  </si>
  <si>
    <t>Comprende rápidamente los cambios del entorno, las oportunidades, amenazas, fortalezas y debilidades de su organización / unidad o proceso/ proyecto y establece directrices estratégicas para la aprobación de planes, programas y otros.</t>
  </si>
  <si>
    <t>Comprende los cambios del entorno y esta en la capacidad de proponer planes  y programas de mejoramiento continuo.</t>
  </si>
  <si>
    <t>Puede adecuarse a los cambios y participa en el desarrollo de planes y  programas de mejoramiento continuo.</t>
  </si>
  <si>
    <t>Percepción de sistemas y entorno</t>
  </si>
  <si>
    <t>Identifica la manera en cómo un cambio de leyes o de situaciones distintas afectará a la organización.</t>
  </si>
  <si>
    <t>Identifica situaciones que pueden alterar el desenvolvimiento normal de los colaboradores de una unidad o proceso organizacional. Implica la habilidad de observar y aprovechar los comportamientos de los colaboradores y compañeros.</t>
  </si>
  <si>
    <t xml:space="preserve">Identifica cómo una discusión entre los miembros de un equipo de trabajo podría alterar el trabajo del día. </t>
  </si>
  <si>
    <t>Planificación y gestión</t>
  </si>
  <si>
    <t xml:space="preserve">Anticipa los puntos críticos de una situación o problema, desarrollando estrategias a largo plazo, acciones de control,  mecanismos de coordinación y  verificando información para la aprobación de diferentes proyectos, programas y otros.     Es capaz de administrar simultáneamente diversos proyectos complejos.  </t>
  </si>
  <si>
    <t>Es capaz de administrar simultáneamente diversos proyectos de complejidad media, estableciendo estrategias de corto y mediano plazo, mecanismos de coordinación y control de la información.</t>
  </si>
  <si>
    <t>Establece objetivos y plazos para la realización de las tareas o actividades, define prioridades, controlando la calidad del trabajo y verificando la información para asegurarse de que se han ejecutado las acciones previstas.</t>
  </si>
  <si>
    <t>Recopilación de información</t>
  </si>
  <si>
    <t>Pone en marcha personalmente sistemas o prácticas que permiten recoger información esencial de forma habitual (ejemplo reuniones informales periódicas). Analiza la información recopilada.</t>
  </si>
  <si>
    <t>Realiza un trabajo sistemático en un determinado lapso de tiempo para obtener la máxima y mejor información posible de todas las fuentes disponibles. (Obtiene información en periódicos, bases de datos, estudios técnicos etc.)</t>
  </si>
  <si>
    <t xml:space="preserve">Busca información con un objetivo concreto a través de preguntas rutinarias. </t>
  </si>
  <si>
    <t>Reparación</t>
  </si>
  <si>
    <t>Repara los daños de maquinarias, equipos y otros, realizando una inspección previa.</t>
  </si>
  <si>
    <t>Reemplaza las piezas deterioradas de maquinarias, equipos y otros</t>
  </si>
  <si>
    <t xml:space="preserve">Ajusta las piezas sencillas de maquinarias, equipos y otros.  </t>
  </si>
  <si>
    <t xml:space="preserve">Selección de equipos  </t>
  </si>
  <si>
    <t>Identifica el equipo necesario que debe adquirir una institución para cumplir con los planes, programas y proyectos.</t>
  </si>
  <si>
    <t xml:space="preserve">Escoge un nuevo programa informático para la automatización de ciertas actividades. </t>
  </si>
  <si>
    <t>Selecciona los instrumentos necesarios para una reunión de trabajo.</t>
  </si>
  <si>
    <t>CATÁLOGO DE COMPETENCIAS UNIVERSALES DEL PUESTO</t>
  </si>
  <si>
    <t>Realiza trabajos de investigación que comparte con sus compañeros. Comparte sus conocimientos y experiencias actuando como agente de cambio y propagador de nuevas ideas y tecnologías.</t>
  </si>
  <si>
    <t>Mantiene su formación técnica. Realiza un gran esfuerzo por adquirir nuevas habilidades y conocimientos.</t>
  </si>
  <si>
    <t>Busca información sólo cuando la necesita, lee manuales, libros y otros, para aumentar sus conocimientos básicos.</t>
  </si>
  <si>
    <t>Identifica las razones que motivan determinados comportamientos en los grupos de trabajo, los problemas de fondo de las unidades o procesos, oportunidades o fuerzas de poder que los afectan.</t>
  </si>
  <si>
    <t>Identifica, describe y utiliza las relaciones de poder e influencia existentes dentro de la institución, con un sentido claro de lo que es influir en la institución.</t>
  </si>
  <si>
    <t>Utiliza las normas, la cadena de mando y los procedimientos establecidos para cumplir con sus responsabilidades. Responde a requerimientos explícitos.</t>
  </si>
  <si>
    <t>Construye relaciones beneficiosas para el usuario externo y la institución, que le permiten alcanzar los objetivos organizacionales. Identifica y crea nuevas oportunidades en beneficio de la institución.</t>
  </si>
  <si>
    <t>Construye relaciones, tanto fuera como dentro de la institución que le proveen información. Establece un ambiente cordial con personas desconocidas, desde el primer encuentro</t>
  </si>
  <si>
    <t>Entabla relaciones a nivel laboral. Inicia y mantiene relaciones sociales con compañeros, usuarios y proveedores.</t>
  </si>
  <si>
    <t>Modifica las acciones para responder a los cambios organizacionales o de prioridades. Propone mejoras para la institución.</t>
  </si>
  <si>
    <t>Modifica su comportamiento para adaptarse a la situación o a las personas. Decide qué hacer en función de la situación.</t>
  </si>
  <si>
    <t>Aplica normas que dependen a cada situación o procedimientos para cumplir con sus responsabilidades</t>
  </si>
  <si>
    <t>Realiza las acciones necesarias para cumplir con las metas propuestas. Desarrolla o modifica procesos organizacionales que contribuyan a mejorar la eficiencia.</t>
  </si>
  <si>
    <t>Modifica los métodos de trabajo para conseguir mejoras. Actúa para lograr y superar niveles de desempeño y plazos establecidos.</t>
  </si>
  <si>
    <t>Realiza bien o correctamente su trabajo.</t>
  </si>
  <si>
    <t>Demuestra interés en atender a los usuarios internos y externos con rapidez, diagnostica correctamente la necesidad y plantea soluciones adecuadas.</t>
  </si>
  <si>
    <t>Identifica las necesidades del usuario interno o externo.</t>
  </si>
  <si>
    <t>Actúa a partir de los requerimientos de los usuarios ofreciendo respuestas estandarizadas a sus demandas.</t>
  </si>
  <si>
    <t>CATÁLOGO DE TRABAJO EN EQUIPO E INICIATIVA DEL PUESTO</t>
  </si>
  <si>
    <t>Crea un buen clima de trabajo y espíritu de cooperación. Resuelve los conflictos que se puedan producir dentro del equipo. Se considera que es un referente en el manejo de equipos de trabajo. Promueve de trabajo en equipo con otra áreas de la organización.</t>
  </si>
  <si>
    <t>Promueve la colaboración de los distintos integrantes del equipos. Valora sinceramente las ideas y experiencias de los demás.</t>
  </si>
  <si>
    <t>Coopera. Participa activamente en el equipo, apoya las decisiones. Realiza la parte del trabajo que le corresponde. Como miembro de un equipo, mantiene informados a los demás. Comparte información.</t>
  </si>
  <si>
    <t>INICIATIVA</t>
  </si>
  <si>
    <t>Se anticipa a las situaciones con una visión a largo plazo.</t>
  </si>
  <si>
    <t>Se adelanta y se prepara para los acontecimientos que pueden ocurrir a corto plazo. Crea oportunidades o minimiza problemas potenciales. Aplica distintas formas de trabajo con una visión de mediano plazo.</t>
  </si>
  <si>
    <t>Reconoce las oportunidades o problemas del momento. Cuestiona las formas convencionales de trabajar.</t>
  </si>
  <si>
    <t>Alto desarrollo de los talentos y motivación en su equipo de trabajo para generar comunicación, confianza y compromiso a través del ejemplo y servicio para el logro de objetivos comunes.</t>
  </si>
  <si>
    <t>Mediano desarrollo de los talentos y motivación en su equipo de trabajo para generar comunicación, confianza y compromiso a través del ejemplo y servicio para el logro de objetivos comunes.</t>
  </si>
  <si>
    <t>Poco desarrollo de los talentos y motivación en su equipo de trabajo para generar comunicación, confianza y compromiso a través del ejemplo y servicio para el logro de objetivos comunes.</t>
  </si>
  <si>
    <t>IMPORTANTE</t>
  </si>
  <si>
    <t>UNA VEZ INGRESADO LAS COMPETENCIAS QUE USTED REQUIERA  VUELVA A LA PESTAÑA EVAL01 :</t>
  </si>
  <si>
    <t>Aprendizaje continuo</t>
  </si>
  <si>
    <t xml:space="preserve">Mantiene su formación técnica. Realiza un gran esfuerzo por adquirir nuevas habilidades y conocimientos. </t>
  </si>
  <si>
    <t>Conocimiento del entrono organizacional</t>
  </si>
  <si>
    <t>Utiliza las normas, la cadena de mando  y los procedimientos establecidos para cumplir con sus responsabilidades. Responde a los requerimientos explícitos.</t>
  </si>
  <si>
    <t>Relaciones Humanas</t>
  </si>
  <si>
    <t>Construye relaciones, tanto dentro como fuera de la institución que le proveen información. Establece un ambiente cordial con personas desconocidas, desde el primer encuentro.</t>
  </si>
  <si>
    <t>Actitud al Cambio</t>
  </si>
  <si>
    <t>Modifica las acciones para responder a los cambios organizacionales o de prioridades. Propone mejoras para la organización.</t>
  </si>
  <si>
    <t xml:space="preserve">Modifica su comportamiento para adaptarse a la situación o a las personas. Decide qué hacer en función de la situación. </t>
  </si>
  <si>
    <t xml:space="preserve">Aplica normas que dependen a cada situación o procedimientos para cumplir con sus responsabilidades. </t>
  </si>
  <si>
    <t>Orientación a los resultados</t>
  </si>
  <si>
    <t xml:space="preserve">Modifica los métodos de trabajo para conseguir mejoras. Actúa para lograr y superar niveles de desempeño y plazos establecidos. </t>
  </si>
  <si>
    <t xml:space="preserve">Realiza  bien o correctamente su trabajo. </t>
  </si>
  <si>
    <t xml:space="preserve">Orientación de servicio </t>
  </si>
  <si>
    <t>Demuestra interés en atender a los usuarios internos o externos con rapidez, diagnóstica correctamente la necesidad y plantea soluciones adecuadas.</t>
  </si>
  <si>
    <t>Identifica las necesidades del usuario interno o externo</t>
  </si>
  <si>
    <t>TE</t>
  </si>
  <si>
    <t>Crea un buen clima de trabajo y espíritu de cooperación. Resuelve los conflictos que se puedan producir dentro del equipo. Se considera que es un referente en el manejo de equipos de trabajo. Promueve el trabajo en equipo con otras áreas de la organización.</t>
  </si>
  <si>
    <t>Promueve la colaboración de los distintos integrantes del equipo. Valora sinceramente las ideas y experiencias de los demás</t>
  </si>
  <si>
    <t>IN</t>
  </si>
  <si>
    <t>Se anticipa a las situaciones con una visión de largo plazo</t>
  </si>
  <si>
    <t>Se adelanta y se prepara para los acontecimientos que pueden ocurrir en el corto plazo. Crea oportunidades o minimiza problemas potenciales. Aplica distintas formas de trabajo con una visión de mediano plazo.</t>
  </si>
  <si>
    <t>LI</t>
  </si>
  <si>
    <t>Alto Desarrollo de los talentos y motivación en su equipo de trabajo para generar 
comunicación, confianza y compromiso a través del ejemplo y servicio 
para el logro de objetivos comunes.</t>
  </si>
  <si>
    <t>Mediano desarrollo de los talentos y motivación en su equipo de trabajo para generar 
comunicación, confianza y compromiso a través del ejemplo y servicio 
para el logro de objetivos comunes.</t>
  </si>
  <si>
    <t>Poco Desarrollo de los talentos y motivación a su equipo de trabajo para generar 
comunicación, confianza y compromiso a través del ejemplo y servicio 
para el logro de objetivos comunes.</t>
  </si>
  <si>
    <t>PROTEGER CELDAS</t>
  </si>
  <si>
    <t>Seleccionar todo click en celda en blanco entre el numero de fila y letra de columna</t>
  </si>
  <si>
    <t>Sobre cualquier celda, click derecho, “Formato de celda - Protección celda – visto en Protegida y Ocultar fórmula</t>
  </si>
  <si>
    <t>Señalar celdas a quitar protección, click derecho, “Formato de celda - Protección celda – visto en Protegida y Ocultar fórmula</t>
  </si>
  <si>
    <t>Para que la protección de celdas surta efecto es necesario PROTEGER HOJA</t>
  </si>
  <si>
    <t>“Herramientas – Proteger hoja – con visto solamente Seleccionar celdas sin proteger”</t>
  </si>
  <si>
    <t>Ingresar contraseña</t>
  </si>
  <si>
    <t>Alta</t>
  </si>
  <si>
    <t>Media</t>
  </si>
  <si>
    <t>Baja</t>
  </si>
  <si>
    <t>Altamente Desarrollada</t>
  </si>
  <si>
    <t>Desarrollada</t>
  </si>
  <si>
    <t>Medianamente Desarrollada</t>
  </si>
  <si>
    <t>Poco Desarrollada</t>
  </si>
  <si>
    <t>No Desarrollada</t>
  </si>
  <si>
    <t>Siempre</t>
  </si>
  <si>
    <t>Frecuentemente</t>
  </si>
  <si>
    <t>Alguna vez</t>
  </si>
  <si>
    <t>Rara vez</t>
  </si>
  <si>
    <t>Nunca</t>
  </si>
  <si>
    <t>Sobresaliente</t>
  </si>
  <si>
    <t>Muy Bueno</t>
  </si>
  <si>
    <t>Bueno</t>
  </si>
  <si>
    <t>Regular</t>
  </si>
  <si>
    <t>Insuficiente</t>
  </si>
  <si>
    <t>No. CEDULA DEL EVALUADO</t>
  </si>
  <si>
    <t>NO</t>
  </si>
  <si>
    <t>PERÍODO DESDE:</t>
  </si>
  <si>
    <t>APELLIDOS Y NOMBRES DEL SERVIDOR (EVALUADO)</t>
  </si>
  <si>
    <t>DENOMINACIÓN DEL PUESTO INSTITUCIONAL</t>
  </si>
  <si>
    <t>HASTA:</t>
  </si>
  <si>
    <t>TÍTULO O PROFESIÓN:</t>
  </si>
  <si>
    <t>APELLIDOS Y NOMBRES  DEL JEFE INMEDIATO (EVALUADOR)</t>
  </si>
  <si>
    <t>SI</t>
  </si>
  <si>
    <t>FIRMA EVALUADO</t>
  </si>
  <si>
    <t>FIRMA EVALUADOR</t>
  </si>
  <si>
    <t xml:space="preserve">ESTOS CAMPOS DEBEN SER LLENADOS OBLIGATORIAMENTE : </t>
  </si>
  <si>
    <t xml:space="preserve">QUEJAS DEL CIUDADANO (PARA USO DE LA DIRECCIÓN ADMINISTRATIVA) </t>
  </si>
  <si>
    <t>FORMULARIO DE EVALUACIÓN DEL DESEMPEÑO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</si>
</sst>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
    <numFmt numFmtId="165" formatCode="0.0"/>
    <numFmt numFmtId="166" formatCode="dd/mm/yyyy"/>
  </numFmts>
  <fonts count="42" x14ac:knownFonts="1">
    <font>
      <sz val="10"/>
      <name val="Arial"/>
      <family val="2"/>
    </font>
    <font>
      <sz val="10"/>
      <name val="Arial"/>
    </font>
    <font>
      <sz val="10"/>
      <color rgb="FFFFFFFF"/>
      <name val="Arial"/>
      <family val="2"/>
    </font>
    <font>
      <b/>
      <sz val="10"/>
      <color rgb="FF000000"/>
      <name val="Arial"/>
      <family val="2"/>
    </font>
    <font>
      <sz val="10"/>
      <color rgb="FFCC0000"/>
      <name val="Arial"/>
      <family val="2"/>
    </font>
    <font>
      <b/>
      <sz val="10"/>
      <color rgb="FFFFFFFF"/>
      <name val="Arial"/>
      <family val="2"/>
    </font>
    <font>
      <i/>
      <sz val="10"/>
      <color rgb="FF808080"/>
      <name val="Arial"/>
      <family val="2"/>
    </font>
    <font>
      <sz val="10"/>
      <color rgb="FF006600"/>
      <name val="Arial"/>
      <family val="2"/>
    </font>
    <font>
      <sz val="18"/>
      <color rgb="FF000000"/>
      <name val="Arial"/>
      <family val="2"/>
    </font>
    <font>
      <sz val="12"/>
      <color rgb="FF000000"/>
      <name val="Arial"/>
      <family val="2"/>
    </font>
    <font>
      <u/>
      <sz val="10"/>
      <color rgb="FF0000EE"/>
      <name val="Arial"/>
      <family val="2"/>
    </font>
    <font>
      <sz val="10"/>
      <color rgb="FF996600"/>
      <name val="Arial"/>
      <family val="2"/>
    </font>
    <font>
      <sz val="10"/>
      <color rgb="FF333333"/>
      <name val="Arial"/>
      <family val="2"/>
    </font>
    <font>
      <b/>
      <sz val="10"/>
      <name val="Arial"/>
      <family val="2"/>
    </font>
    <font>
      <b/>
      <sz val="12"/>
      <name val="Arial"/>
      <family val="2"/>
    </font>
    <font>
      <sz val="8"/>
      <name val="Arial"/>
      <family val="2"/>
    </font>
    <font>
      <sz val="10"/>
      <name val="Arial"/>
      <family val="2"/>
      <charset val="1"/>
    </font>
    <font>
      <b/>
      <sz val="9"/>
      <name val="Arial"/>
      <family val="2"/>
    </font>
    <font>
      <sz val="7"/>
      <name val="Arial"/>
      <family val="2"/>
    </font>
    <font>
      <b/>
      <sz val="8"/>
      <color rgb="FF000080"/>
      <name val="Arial"/>
      <family val="2"/>
    </font>
    <font>
      <b/>
      <sz val="10"/>
      <color rgb="FF000080"/>
      <name val="Arial"/>
      <family val="2"/>
    </font>
    <font>
      <b/>
      <sz val="8"/>
      <color rgb="FF800000"/>
      <name val="Arial"/>
      <family val="2"/>
    </font>
    <font>
      <b/>
      <sz val="8"/>
      <name val="Arial"/>
      <family val="2"/>
    </font>
    <font>
      <b/>
      <sz val="7"/>
      <name val="Arial"/>
      <family val="2"/>
    </font>
    <font>
      <sz val="9"/>
      <color rgb="FF333333"/>
      <name val="Arial"/>
      <family val="2"/>
    </font>
    <font>
      <sz val="9"/>
      <color rgb="FFFF6600"/>
      <name val="Arial"/>
      <family val="2"/>
    </font>
    <font>
      <sz val="10"/>
      <color rgb="FFFF6600"/>
      <name val="Arial"/>
      <family val="2"/>
    </font>
    <font>
      <sz val="8"/>
      <color rgb="FF000080"/>
      <name val="Arial"/>
      <family val="2"/>
    </font>
    <font>
      <sz val="7"/>
      <color rgb="FF000080"/>
      <name val="Arial"/>
      <family val="2"/>
    </font>
    <font>
      <u/>
      <sz val="7"/>
      <color rgb="FF000080"/>
      <name val="Arial"/>
      <family val="2"/>
    </font>
    <font>
      <sz val="10"/>
      <color rgb="FF000080"/>
      <name val="Arial"/>
      <family val="2"/>
    </font>
    <font>
      <b/>
      <sz val="10"/>
      <color rgb="FF800000"/>
      <name val="Arial"/>
      <family val="2"/>
    </font>
    <font>
      <b/>
      <sz val="7"/>
      <color rgb="FF000080"/>
      <name val="Arial"/>
      <family val="2"/>
    </font>
    <font>
      <b/>
      <sz val="9"/>
      <color rgb="FFC0C0C0"/>
      <name val="Arial"/>
      <family val="2"/>
    </font>
    <font>
      <b/>
      <sz val="8"/>
      <color rgb="FF333399"/>
      <name val="Arial"/>
      <family val="2"/>
    </font>
    <font>
      <sz val="8"/>
      <color rgb="FF333399"/>
      <name val="Arial"/>
      <family val="2"/>
    </font>
    <font>
      <b/>
      <i/>
      <sz val="10"/>
      <name val="Arial"/>
      <family val="2"/>
    </font>
    <font>
      <b/>
      <sz val="14"/>
      <color rgb="FF000080"/>
      <name val="Arial"/>
      <family val="2"/>
    </font>
    <font>
      <b/>
      <sz val="12"/>
      <color rgb="FFFF6600"/>
      <name val="Arial"/>
      <family val="2"/>
    </font>
    <font>
      <b/>
      <sz val="11"/>
      <color rgb="FF000080"/>
      <name val="Arial"/>
      <family val="2"/>
    </font>
    <font>
      <b/>
      <sz val="12"/>
      <color rgb="FF000080"/>
      <name val="Arial"/>
      <family val="2"/>
    </font>
    <font>
      <sz val="10"/>
      <name val="Arial"/>
      <family val="2"/>
    </font>
  </fonts>
  <fills count="14">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CCCC"/>
      </patternFill>
    </fill>
    <fill>
      <patternFill patternType="solid">
        <fgColor rgb="FFFFCCCC"/>
        <bgColor rgb="FFDDDDDD"/>
      </patternFill>
    </fill>
    <fill>
      <patternFill patternType="solid">
        <fgColor rgb="FFCC0000"/>
        <bgColor rgb="FF800000"/>
      </patternFill>
    </fill>
    <fill>
      <patternFill patternType="solid">
        <fgColor rgb="FFCCFFCC"/>
        <bgColor rgb="FFFFFFCC"/>
      </patternFill>
    </fill>
    <fill>
      <patternFill patternType="solid">
        <fgColor rgb="FFFFFFCC"/>
        <bgColor rgb="FFFFFFC0"/>
      </patternFill>
    </fill>
    <fill>
      <patternFill patternType="solid">
        <fgColor rgb="FFCCCCCC"/>
        <bgColor rgb="FFC0C0C0"/>
      </patternFill>
    </fill>
    <fill>
      <patternFill patternType="solid">
        <fgColor rgb="FF969696"/>
        <bgColor rgb="FF808080"/>
      </patternFill>
    </fill>
    <fill>
      <patternFill patternType="solid">
        <fgColor rgb="FFC0C0C0"/>
        <bgColor rgb="FFCCCCCC"/>
      </patternFill>
    </fill>
    <fill>
      <patternFill patternType="solid">
        <fgColor rgb="FFFFFFC0"/>
        <bgColor rgb="FFFFFFCC"/>
      </patternFill>
    </fill>
    <fill>
      <patternFill patternType="solid">
        <fgColor rgb="FFFFF3E6"/>
        <bgColor rgb="FFFFFFFF"/>
      </patternFill>
    </fill>
  </fills>
  <borders count="110">
    <border>
      <left/>
      <right/>
      <top/>
      <bottom/>
      <diagonal/>
    </border>
    <border>
      <left style="thin">
        <color rgb="FF808080"/>
      </left>
      <right style="thin">
        <color rgb="FF808080"/>
      </right>
      <top style="thin">
        <color rgb="FF808080"/>
      </top>
      <bottom style="thin">
        <color rgb="FF808080"/>
      </bottom>
      <diagonal/>
    </border>
    <border>
      <left style="thin">
        <color auto="1"/>
      </left>
      <right style="hair">
        <color auto="1"/>
      </right>
      <top style="thin">
        <color auto="1"/>
      </top>
      <bottom/>
      <diagonal/>
    </border>
    <border>
      <left/>
      <right style="thin">
        <color auto="1"/>
      </right>
      <top style="thin">
        <color auto="1"/>
      </top>
      <bottom/>
      <diagonal/>
    </border>
    <border>
      <left style="thin">
        <color auto="1"/>
      </left>
      <right style="hair">
        <color auto="1"/>
      </right>
      <top style="hair">
        <color auto="1"/>
      </top>
      <bottom style="hair">
        <color auto="1"/>
      </bottom>
      <diagonal/>
    </border>
    <border>
      <left/>
      <right style="thin">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bottom style="thin">
        <color auto="1"/>
      </bottom>
      <diagonal/>
    </border>
    <border>
      <left/>
      <right/>
      <top/>
      <bottom style="thin">
        <color auto="1"/>
      </bottom>
      <diagonal/>
    </border>
    <border>
      <left style="medium">
        <color rgb="FF3C3C3C"/>
      </left>
      <right style="medium">
        <color rgb="FF3C3C3C"/>
      </right>
      <top style="medium">
        <color rgb="FF3C3C3C"/>
      </top>
      <bottom/>
      <diagonal/>
    </border>
    <border>
      <left style="medium">
        <color rgb="FF3C3C3C"/>
      </left>
      <right/>
      <top style="thin">
        <color rgb="FF3C3C3C"/>
      </top>
      <bottom style="thin">
        <color rgb="FF3C3C3C"/>
      </bottom>
      <diagonal/>
    </border>
    <border>
      <left/>
      <right/>
      <top style="thin">
        <color rgb="FF3C3C3C"/>
      </top>
      <bottom style="thin">
        <color rgb="FF3C3C3C"/>
      </bottom>
      <diagonal/>
    </border>
    <border>
      <left/>
      <right style="medium">
        <color rgb="FF3C3C3C"/>
      </right>
      <top style="thin">
        <color rgb="FF3C3C3C"/>
      </top>
      <bottom style="thin">
        <color rgb="FF3C3C3C"/>
      </bottom>
      <diagonal/>
    </border>
    <border>
      <left style="medium">
        <color rgb="FF3C3C3C"/>
      </left>
      <right style="thin">
        <color rgb="FF3C3C3C"/>
      </right>
      <top style="thin">
        <color rgb="FF3C3C3C"/>
      </top>
      <bottom style="medium">
        <color rgb="FF3C3C3C"/>
      </bottom>
      <diagonal/>
    </border>
    <border>
      <left style="thin">
        <color rgb="FF3C3C3C"/>
      </left>
      <right style="thin">
        <color rgb="FF3C3C3C"/>
      </right>
      <top style="thin">
        <color rgb="FF3C3C3C"/>
      </top>
      <bottom style="medium">
        <color rgb="FF3C3C3C"/>
      </bottom>
      <diagonal/>
    </border>
    <border>
      <left style="thin">
        <color rgb="FF3C3C3C"/>
      </left>
      <right style="hair">
        <color auto="1"/>
      </right>
      <top style="thin">
        <color rgb="FF3C3C3C"/>
      </top>
      <bottom style="medium">
        <color rgb="FF3C3C3C"/>
      </bottom>
      <diagonal/>
    </border>
    <border>
      <left style="medium">
        <color rgb="FF3C3C3C"/>
      </left>
      <right style="thin">
        <color rgb="FF3C3C3C"/>
      </right>
      <top style="medium">
        <color rgb="FF3C3C3C"/>
      </top>
      <bottom style="dashed">
        <color rgb="FF3C3C3C"/>
      </bottom>
      <diagonal/>
    </border>
    <border>
      <left style="thin">
        <color rgb="FF3C3C3C"/>
      </left>
      <right style="thin">
        <color rgb="FF3C3C3C"/>
      </right>
      <top style="medium">
        <color rgb="FF3C3C3C"/>
      </top>
      <bottom/>
      <diagonal/>
    </border>
    <border>
      <left style="thin">
        <color rgb="FF3C3C3C"/>
      </left>
      <right style="thin">
        <color rgb="FF3C3C3C"/>
      </right>
      <top style="medium">
        <color rgb="FF3C3C3C"/>
      </top>
      <bottom style="dashed">
        <color rgb="FF3C3C3C"/>
      </bottom>
      <diagonal/>
    </border>
    <border>
      <left style="dashed">
        <color auto="1"/>
      </left>
      <right style="dashed">
        <color auto="1"/>
      </right>
      <top style="dashed">
        <color auto="1"/>
      </top>
      <bottom style="dashed">
        <color auto="1"/>
      </bottom>
      <diagonal/>
    </border>
    <border>
      <left style="dashed">
        <color auto="1"/>
      </left>
      <right style="hair">
        <color auto="1"/>
      </right>
      <top style="dashed">
        <color auto="1"/>
      </top>
      <bottom style="dashed">
        <color auto="1"/>
      </bottom>
      <diagonal/>
    </border>
    <border>
      <left style="medium">
        <color rgb="FF3C3C3C"/>
      </left>
      <right style="thin">
        <color rgb="FF3C3C3C"/>
      </right>
      <top style="dashed">
        <color rgb="FF3C3C3C"/>
      </top>
      <bottom style="dashed">
        <color rgb="FF3C3C3C"/>
      </bottom>
      <diagonal/>
    </border>
    <border>
      <left style="thin">
        <color rgb="FF3C3C3C"/>
      </left>
      <right style="thin">
        <color rgb="FF3C3C3C"/>
      </right>
      <top style="dashed">
        <color rgb="FF3C3C3C"/>
      </top>
      <bottom style="dashed">
        <color rgb="FF3C3C3C"/>
      </bottom>
      <diagonal/>
    </border>
    <border>
      <left style="thin">
        <color rgb="FF3C3C3C"/>
      </left>
      <right style="thin">
        <color rgb="FF3C3C3C"/>
      </right>
      <top/>
      <bottom style="dashed">
        <color rgb="FF3C3C3C"/>
      </bottom>
      <diagonal/>
    </border>
    <border>
      <left style="medium">
        <color rgb="FF3C3C3C"/>
      </left>
      <right/>
      <top style="medium">
        <color rgb="FF3C3C3C"/>
      </top>
      <bottom style="medium">
        <color rgb="FF3C3C3C"/>
      </bottom>
      <diagonal/>
    </border>
    <border>
      <left style="thin">
        <color rgb="FF3C3C3C"/>
      </left>
      <right style="thin">
        <color rgb="FF3C3C3C"/>
      </right>
      <top style="medium">
        <color rgb="FF3C3C3C"/>
      </top>
      <bottom style="thin">
        <color rgb="FF3C3C3C"/>
      </bottom>
      <diagonal/>
    </border>
    <border>
      <left/>
      <right/>
      <top style="medium">
        <color rgb="FF3C3C3C"/>
      </top>
      <bottom/>
      <diagonal/>
    </border>
    <border>
      <left/>
      <right style="medium">
        <color rgb="FF3C3C3C"/>
      </right>
      <top style="medium">
        <color rgb="FF3C3C3C"/>
      </top>
      <bottom style="medium">
        <color rgb="FF3C3C3C"/>
      </bottom>
      <diagonal/>
    </border>
    <border>
      <left/>
      <right/>
      <top style="medium">
        <color rgb="FF3C3C3C"/>
      </top>
      <bottom style="medium">
        <color rgb="FF3C3C3C"/>
      </bottom>
      <diagonal/>
    </border>
    <border>
      <left style="thin">
        <color auto="1"/>
      </left>
      <right style="thin">
        <color auto="1"/>
      </right>
      <top style="medium">
        <color rgb="FF3C3C3C"/>
      </top>
      <bottom style="medium">
        <color rgb="FF3C3C3C"/>
      </bottom>
      <diagonal/>
    </border>
    <border>
      <left style="thin">
        <color auto="1"/>
      </left>
      <right style="medium">
        <color rgb="FF3C3C3C"/>
      </right>
      <top style="medium">
        <color rgb="FF3C3C3C"/>
      </top>
      <bottom style="medium">
        <color rgb="FF3C3C3C"/>
      </bottom>
      <diagonal/>
    </border>
    <border>
      <left style="medium">
        <color rgb="FF3C3C3C"/>
      </left>
      <right style="thin">
        <color rgb="FF3C3C3C"/>
      </right>
      <top/>
      <bottom style="dashed">
        <color rgb="FF3C3C3C"/>
      </bottom>
      <diagonal/>
    </border>
    <border>
      <left style="thin">
        <color rgb="FF3C3C3C"/>
      </left>
      <right style="thin">
        <color rgb="FF3C3C3C"/>
      </right>
      <top style="thin">
        <color rgb="FF3C3C3C"/>
      </top>
      <bottom style="thin">
        <color rgb="FF3C3C3C"/>
      </bottom>
      <diagonal/>
    </border>
    <border>
      <left style="thin">
        <color rgb="FF3C3C3C"/>
      </left>
      <right style="medium">
        <color rgb="FF3C3C3C"/>
      </right>
      <top style="medium">
        <color rgb="FF3C3C3C"/>
      </top>
      <bottom style="medium">
        <color rgb="FF3C3C3C"/>
      </bottom>
      <diagonal/>
    </border>
    <border>
      <left style="medium">
        <color rgb="FF3C3C3C"/>
      </left>
      <right/>
      <top style="medium">
        <color rgb="FF3C3C3C"/>
      </top>
      <bottom/>
      <diagonal/>
    </border>
    <border>
      <left/>
      <right style="medium">
        <color rgb="FF3C3C3C"/>
      </right>
      <top style="medium">
        <color rgb="FF3C3C3C"/>
      </top>
      <bottom/>
      <diagonal/>
    </border>
    <border>
      <left style="thin">
        <color rgb="FF3C3C3C"/>
      </left>
      <right style="medium">
        <color rgb="FF3C3C3C"/>
      </right>
      <top style="thin">
        <color rgb="FF3C3C3C"/>
      </top>
      <bottom style="medium">
        <color rgb="FF3C3C3C"/>
      </bottom>
      <diagonal/>
    </border>
    <border>
      <left style="medium">
        <color rgb="FF3C3C3C"/>
      </left>
      <right style="dashed">
        <color rgb="FF3C3C3C"/>
      </right>
      <top/>
      <bottom style="dashed">
        <color rgb="FF3C3C3C"/>
      </bottom>
      <diagonal/>
    </border>
    <border>
      <left style="dashed">
        <color rgb="FF3C3C3C"/>
      </left>
      <right style="dashed">
        <color rgb="FF3C3C3C"/>
      </right>
      <top/>
      <bottom style="dashed">
        <color rgb="FF3C3C3C"/>
      </bottom>
      <diagonal/>
    </border>
    <border>
      <left style="dashed">
        <color rgb="FF3C3C3C"/>
      </left>
      <right style="thin">
        <color rgb="FF3C3C3C"/>
      </right>
      <top style="dashed">
        <color rgb="FF3C3C3C"/>
      </top>
      <bottom style="dashed">
        <color rgb="FF3C3C3C"/>
      </bottom>
      <diagonal/>
    </border>
    <border>
      <left style="thin">
        <color rgb="FF3C3C3C"/>
      </left>
      <right style="medium">
        <color rgb="FF3C3C3C"/>
      </right>
      <top/>
      <bottom style="dashed">
        <color rgb="FF3C3C3C"/>
      </bottom>
      <diagonal/>
    </border>
    <border>
      <left style="thin">
        <color rgb="FF3C3C3C"/>
      </left>
      <right/>
      <top style="dashed">
        <color rgb="FF3C3C3C"/>
      </top>
      <bottom style="dashed">
        <color rgb="FF3C3C3C"/>
      </bottom>
      <diagonal/>
    </border>
    <border>
      <left style="thin">
        <color rgb="FF3C3C3C"/>
      </left>
      <right style="medium">
        <color rgb="FF3C3C3C"/>
      </right>
      <top style="dashed">
        <color rgb="FF3C3C3C"/>
      </top>
      <bottom style="dashed">
        <color rgb="FF3C3C3C"/>
      </bottom>
      <diagonal/>
    </border>
    <border>
      <left style="medium">
        <color rgb="FF3C3C3C"/>
      </left>
      <right style="thin">
        <color rgb="FF3C3C3C"/>
      </right>
      <top style="medium">
        <color rgb="FF3C3C3C"/>
      </top>
      <bottom style="medium">
        <color rgb="FF3C3C3C"/>
      </bottom>
      <diagonal/>
    </border>
    <border>
      <left style="medium">
        <color rgb="FF3C3C3C"/>
      </left>
      <right style="medium">
        <color rgb="FF3C3C3C"/>
      </right>
      <top style="thin">
        <color rgb="FF3C3C3C"/>
      </top>
      <bottom style="thin">
        <color rgb="FF3C3C3C"/>
      </bottom>
      <diagonal/>
    </border>
    <border>
      <left style="dashed">
        <color rgb="FF3C3C3C"/>
      </left>
      <right style="medium">
        <color rgb="FF3C3C3C"/>
      </right>
      <top/>
      <bottom style="dashed">
        <color rgb="FF3C3C3C"/>
      </bottom>
      <diagonal/>
    </border>
    <border>
      <left style="medium">
        <color rgb="FF3C3C3C"/>
      </left>
      <right style="dashed">
        <color rgb="FF3C3C3C"/>
      </right>
      <top style="dashed">
        <color rgb="FF3C3C3C"/>
      </top>
      <bottom style="dashed">
        <color rgb="FF3C3C3C"/>
      </bottom>
      <diagonal/>
    </border>
    <border>
      <left style="dashed">
        <color rgb="FF3C3C3C"/>
      </left>
      <right style="dashed">
        <color rgb="FF3C3C3C"/>
      </right>
      <top style="dashed">
        <color rgb="FF3C3C3C"/>
      </top>
      <bottom style="dashed">
        <color rgb="FF3C3C3C"/>
      </bottom>
      <diagonal/>
    </border>
    <border>
      <left style="dashed">
        <color rgb="FF3C3C3C"/>
      </left>
      <right style="medium">
        <color rgb="FF3C3C3C"/>
      </right>
      <top style="dashed">
        <color rgb="FF3C3C3C"/>
      </top>
      <bottom style="dashed">
        <color rgb="FF3C3C3C"/>
      </bottom>
      <diagonal/>
    </border>
    <border>
      <left style="medium">
        <color rgb="FF3C3C3C"/>
      </left>
      <right style="dashed">
        <color rgb="FF3C3C3C"/>
      </right>
      <top style="dashed">
        <color rgb="FF3C3C3C"/>
      </top>
      <bottom/>
      <diagonal/>
    </border>
    <border>
      <left style="dashed">
        <color rgb="FF3C3C3C"/>
      </left>
      <right style="dashed">
        <color rgb="FF3C3C3C"/>
      </right>
      <top style="dashed">
        <color rgb="FF3C3C3C"/>
      </top>
      <bottom/>
      <diagonal/>
    </border>
    <border>
      <left style="dashed">
        <color rgb="FF3C3C3C"/>
      </left>
      <right style="medium">
        <color rgb="FF3C3C3C"/>
      </right>
      <top style="dashed">
        <color rgb="FF3C3C3C"/>
      </top>
      <bottom/>
      <diagonal/>
    </border>
    <border>
      <left style="medium">
        <color rgb="FF3C3C3C"/>
      </left>
      <right/>
      <top/>
      <bottom/>
      <diagonal/>
    </border>
    <border>
      <left/>
      <right style="medium">
        <color rgb="FF3C3C3C"/>
      </right>
      <top/>
      <bottom/>
      <diagonal/>
    </border>
    <border>
      <left style="medium">
        <color rgb="FF3C3C3C"/>
      </left>
      <right style="thin">
        <color rgb="FF3C3C3C"/>
      </right>
      <top style="thin">
        <color rgb="FF3C3C3C"/>
      </top>
      <bottom style="thin">
        <color rgb="FF3C3C3C"/>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rgb="FF3C3C3C"/>
      </left>
      <right/>
      <top/>
      <bottom style="dashed">
        <color rgb="FF3C3C3C"/>
      </bottom>
      <diagonal/>
    </border>
    <border>
      <left style="dashed">
        <color rgb="FF3C3C3C"/>
      </left>
      <right/>
      <top/>
      <bottom style="dashed">
        <color rgb="FF3C3C3C"/>
      </bottom>
      <diagonal/>
    </border>
    <border>
      <left style="dashed">
        <color rgb="FF3C3C3C"/>
      </left>
      <right/>
      <top/>
      <bottom/>
      <diagonal/>
    </border>
    <border>
      <left style="dashed">
        <color rgb="FF3C3C3C"/>
      </left>
      <right style="dashed">
        <color rgb="FF3C3C3C"/>
      </right>
      <top/>
      <bottom/>
      <diagonal/>
    </border>
    <border>
      <left style="dashed">
        <color rgb="FF3C3C3C"/>
      </left>
      <right style="medium">
        <color rgb="FF3C3C3C"/>
      </right>
      <top/>
      <bottom/>
      <diagonal/>
    </border>
    <border>
      <left style="medium">
        <color rgb="FF3C3C3C"/>
      </left>
      <right style="medium">
        <color rgb="FF3C3C3C"/>
      </right>
      <top style="thin">
        <color rgb="FFC0C0C0"/>
      </top>
      <bottom style="thin">
        <color rgb="FF3C3C3C"/>
      </bottom>
      <diagonal/>
    </border>
    <border>
      <left style="medium">
        <color rgb="FF3C3C3C"/>
      </left>
      <right style="medium">
        <color rgb="FF3C3C3C"/>
      </right>
      <top style="thin">
        <color rgb="FF3C3C3C"/>
      </top>
      <bottom/>
      <diagonal/>
    </border>
    <border>
      <left style="thin">
        <color rgb="FF3C3C3C"/>
      </left>
      <right style="thin">
        <color rgb="FF3C3C3C"/>
      </right>
      <top style="thin">
        <color rgb="FF3C3C3C"/>
      </top>
      <bottom style="dashed">
        <color rgb="FF3C3C3C"/>
      </bottom>
      <diagonal/>
    </border>
    <border>
      <left style="thin">
        <color rgb="FF3C3C3C"/>
      </left>
      <right style="medium">
        <color rgb="FF3C3C3C"/>
      </right>
      <top style="thin">
        <color rgb="FF3C3C3C"/>
      </top>
      <bottom/>
      <diagonal/>
    </border>
    <border>
      <left style="thin">
        <color rgb="FF3C3C3C"/>
      </left>
      <right style="thin">
        <color rgb="FF3C3C3C"/>
      </right>
      <top style="thin">
        <color rgb="FF3C3C3C"/>
      </top>
      <bottom/>
      <diagonal/>
    </border>
    <border>
      <left/>
      <right style="dashed">
        <color rgb="FF3C3C3C"/>
      </right>
      <top style="medium">
        <color rgb="FF3C3C3C"/>
      </top>
      <bottom style="medium">
        <color rgb="FF3C3C3C"/>
      </bottom>
      <diagonal/>
    </border>
    <border>
      <left style="dashed">
        <color rgb="FF3C3C3C"/>
      </left>
      <right style="medium">
        <color rgb="FF3C3C3C"/>
      </right>
      <top style="medium">
        <color rgb="FF3C3C3C"/>
      </top>
      <bottom style="medium">
        <color rgb="FF3C3C3C"/>
      </bottom>
      <diagonal/>
    </border>
    <border>
      <left style="medium">
        <color rgb="FF3C3C3C"/>
      </left>
      <right style="thin">
        <color rgb="FF3C3C3C"/>
      </right>
      <top style="medium">
        <color rgb="FF3C3C3C"/>
      </top>
      <bottom style="thin">
        <color rgb="FF3C3C3C"/>
      </bottom>
      <diagonal/>
    </border>
    <border>
      <left style="thin">
        <color rgb="FF3C3C3C"/>
      </left>
      <right style="medium">
        <color rgb="FF3C3C3C"/>
      </right>
      <top style="medium">
        <color rgb="FF3C3C3C"/>
      </top>
      <bottom style="thin">
        <color rgb="FF3C3C3C"/>
      </bottom>
      <diagonal/>
    </border>
    <border>
      <left style="medium">
        <color rgb="FF3C3C3C"/>
      </left>
      <right style="dashed">
        <color rgb="FF3C3C3C"/>
      </right>
      <top style="dashed">
        <color rgb="FF3C3C3C"/>
      </top>
      <bottom style="medium">
        <color rgb="FF3C3C3C"/>
      </bottom>
      <diagonal/>
    </border>
    <border>
      <left style="dashed">
        <color rgb="FF3C3C3C"/>
      </left>
      <right style="medium">
        <color rgb="FF3C3C3C"/>
      </right>
      <top style="dashed">
        <color rgb="FF3C3C3C"/>
      </top>
      <bottom style="medium">
        <color rgb="FF3C3C3C"/>
      </bottom>
      <diagonal/>
    </border>
    <border>
      <left style="medium">
        <color rgb="FF3C3C3C"/>
      </left>
      <right style="medium">
        <color rgb="FF3C3C3C"/>
      </right>
      <top/>
      <bottom/>
      <diagonal/>
    </border>
    <border>
      <left style="medium">
        <color rgb="FF3C3C3C"/>
      </left>
      <right style="medium">
        <color rgb="FF3C3C3C"/>
      </right>
      <top style="medium">
        <color rgb="FF3C3C3C"/>
      </top>
      <bottom style="medium">
        <color rgb="FF3C3C3C"/>
      </bottom>
      <diagonal/>
    </border>
    <border>
      <left style="medium">
        <color rgb="FF3C3C3C"/>
      </left>
      <right style="medium">
        <color rgb="FF3C3C3C"/>
      </right>
      <top/>
      <bottom style="thin">
        <color rgb="FF3C3C3C"/>
      </bottom>
      <diagonal/>
    </border>
    <border>
      <left style="medium">
        <color rgb="FF3C3C3C"/>
      </left>
      <right style="thin">
        <color rgb="FF003366"/>
      </right>
      <top style="thin">
        <color rgb="FF3C3C3C"/>
      </top>
      <bottom style="thin">
        <color rgb="FF000080"/>
      </bottom>
      <diagonal/>
    </border>
    <border>
      <left style="thin">
        <color rgb="FF003366"/>
      </left>
      <right/>
      <top style="thin">
        <color rgb="FF3C3C3C"/>
      </top>
      <bottom style="thin">
        <color rgb="FF000080"/>
      </bottom>
      <diagonal/>
    </border>
    <border>
      <left/>
      <right/>
      <top style="thin">
        <color rgb="FF3C3C3C"/>
      </top>
      <bottom style="thin">
        <color rgb="FF000080"/>
      </bottom>
      <diagonal/>
    </border>
    <border>
      <left/>
      <right style="medium">
        <color rgb="FF3C3C3C"/>
      </right>
      <top style="thin">
        <color rgb="FF3C3C3C"/>
      </top>
      <bottom style="thin">
        <color rgb="FF000080"/>
      </bottom>
      <diagonal/>
    </border>
    <border>
      <left style="medium">
        <color rgb="FF3C3C3C"/>
      </left>
      <right style="medium">
        <color rgb="FF3C3C3C"/>
      </right>
      <top style="thin">
        <color rgb="FF000080"/>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double">
        <color rgb="FF3C3C3C"/>
      </left>
      <right style="double">
        <color rgb="FF3C3C3C"/>
      </right>
      <top style="double">
        <color rgb="FF3C3C3C"/>
      </top>
      <bottom style="double">
        <color rgb="FF3C3C3C"/>
      </bottom>
      <diagonal/>
    </border>
    <border>
      <left style="thin">
        <color rgb="FF3C3C3C"/>
      </left>
      <right style="medium">
        <color rgb="FF3C3C3C"/>
      </right>
      <top style="thin">
        <color rgb="FF3C3C3C"/>
      </top>
      <bottom style="thin">
        <color rgb="FF3C3C3C"/>
      </bottom>
      <diagonal/>
    </border>
    <border>
      <left style="double">
        <color auto="1"/>
      </left>
      <right style="double">
        <color auto="1"/>
      </right>
      <top style="double">
        <color auto="1"/>
      </top>
      <bottom style="double">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right style="double">
        <color rgb="FF3C3C3C"/>
      </right>
      <top style="double">
        <color rgb="FF3C3C3C"/>
      </top>
      <bottom style="double">
        <color rgb="FF3C3C3C"/>
      </bottom>
      <diagonal/>
    </border>
    <border>
      <left/>
      <right/>
      <top style="double">
        <color rgb="FF3C3C3C"/>
      </top>
      <bottom style="double">
        <color rgb="FF3C3C3C"/>
      </bottom>
      <diagonal/>
    </border>
    <border>
      <left style="hair">
        <color auto="1"/>
      </left>
      <right/>
      <top style="hair">
        <color auto="1"/>
      </top>
      <bottom style="medium">
        <color rgb="FF3C3C3C"/>
      </bottom>
      <diagonal/>
    </border>
    <border>
      <left/>
      <right/>
      <top style="hair">
        <color auto="1"/>
      </top>
      <bottom style="medium">
        <color rgb="FF3C3C3C"/>
      </bottom>
      <diagonal/>
    </border>
    <border>
      <left/>
      <right style="thin">
        <color auto="1"/>
      </right>
      <top style="hair">
        <color auto="1"/>
      </top>
      <bottom style="medium">
        <color rgb="FF3C3C3C"/>
      </bottom>
      <diagonal/>
    </border>
    <border>
      <left/>
      <right style="hair">
        <color auto="1"/>
      </right>
      <top style="hair">
        <color auto="1"/>
      </top>
      <bottom style="medium">
        <color rgb="FF3C3C3C"/>
      </bottom>
      <diagonal/>
    </border>
    <border>
      <left style="hair">
        <color auto="1"/>
      </left>
      <right/>
      <top style="hair">
        <color auto="1"/>
      </top>
      <bottom style="hair">
        <color auto="1"/>
      </bottom>
      <diagonal/>
    </border>
    <border>
      <left style="dashed">
        <color rgb="FF3C3C3C"/>
      </left>
      <right/>
      <top style="thin">
        <color auto="1"/>
      </top>
      <bottom style="dashed">
        <color rgb="FF3C3C3C"/>
      </bottom>
      <diagonal/>
    </border>
    <border>
      <left/>
      <right/>
      <top style="thin">
        <color auto="1"/>
      </top>
      <bottom style="dashed">
        <color rgb="FF3C3C3C"/>
      </bottom>
      <diagonal/>
    </border>
    <border>
      <left/>
      <right style="dashed">
        <color rgb="FF3C3C3C"/>
      </right>
      <top style="thin">
        <color auto="1"/>
      </top>
      <bottom style="dashed">
        <color rgb="FF3C3C3C"/>
      </bottom>
      <diagonal/>
    </border>
    <border>
      <left style="thin">
        <color rgb="FF3C3C3C"/>
      </left>
      <right/>
      <top style="thin">
        <color rgb="FF3C3C3C"/>
      </top>
      <bottom style="medium">
        <color rgb="FF3C3C3C"/>
      </bottom>
      <diagonal/>
    </border>
    <border>
      <left/>
      <right/>
      <top style="thin">
        <color rgb="FF3C3C3C"/>
      </top>
      <bottom style="medium">
        <color rgb="FF3C3C3C"/>
      </bottom>
      <diagonal/>
    </border>
    <border>
      <left/>
      <right style="medium">
        <color rgb="FF3C3C3C"/>
      </right>
      <top style="thin">
        <color rgb="FF3C3C3C"/>
      </top>
      <bottom style="medium">
        <color rgb="FF3C3C3C"/>
      </bottom>
      <diagonal/>
    </border>
  </borders>
  <cellStyleXfs count="20">
    <xf numFmtId="0" fontId="0" fillId="0" borderId="0"/>
    <xf numFmtId="0" fontId="2" fillId="2" borderId="0" applyBorder="0" applyAlignment="0" applyProtection="0"/>
    <xf numFmtId="0" fontId="2" fillId="3" borderId="0" applyBorder="0" applyAlignment="0" applyProtection="0"/>
    <xf numFmtId="0" fontId="3" fillId="4" borderId="0" applyBorder="0" applyAlignment="0" applyProtection="0"/>
    <xf numFmtId="0" fontId="3" fillId="0" borderId="0" applyBorder="0" applyAlignment="0" applyProtection="0"/>
    <xf numFmtId="0" fontId="4" fillId="5" borderId="0" applyBorder="0" applyAlignment="0" applyProtection="0"/>
    <xf numFmtId="0" fontId="5" fillId="6" borderId="0" applyBorder="0" applyAlignment="0" applyProtection="0"/>
    <xf numFmtId="0" fontId="6" fillId="0" borderId="0" applyBorder="0" applyAlignment="0" applyProtection="0"/>
    <xf numFmtId="0" fontId="7" fillId="7" borderId="0" applyBorder="0" applyAlignment="0" applyProtection="0"/>
    <xf numFmtId="0" fontId="8" fillId="0" borderId="0" applyBorder="0" applyAlignment="0" applyProtection="0"/>
    <xf numFmtId="0" fontId="9" fillId="0" borderId="0" applyBorder="0" applyAlignment="0" applyProtection="0"/>
    <xf numFmtId="0" fontId="10" fillId="0" borderId="0" applyBorder="0" applyAlignment="0" applyProtection="0"/>
    <xf numFmtId="0" fontId="11" fillId="8" borderId="0" applyBorder="0" applyAlignment="0" applyProtection="0"/>
    <xf numFmtId="0" fontId="41" fillId="0" borderId="0"/>
    <xf numFmtId="0" fontId="12" fillId="8" borderId="1" applyAlignment="0" applyProtection="0"/>
    <xf numFmtId="0" fontId="41" fillId="0" borderId="0" applyBorder="0" applyAlignment="0" applyProtection="0"/>
    <xf numFmtId="0" fontId="41" fillId="0" borderId="0" applyBorder="0" applyAlignment="0" applyProtection="0"/>
    <xf numFmtId="0" fontId="4" fillId="0" borderId="0" applyBorder="0" applyAlignment="0" applyProtection="0"/>
    <xf numFmtId="0" fontId="41" fillId="0" borderId="0"/>
    <xf numFmtId="0" fontId="41" fillId="0" borderId="0"/>
  </cellStyleXfs>
  <cellXfs count="237">
    <xf numFmtId="0" fontId="0" fillId="0" borderId="0" xfId="0"/>
    <xf numFmtId="0" fontId="0" fillId="0" borderId="0" xfId="0" applyProtection="1">
      <protection hidden="1"/>
    </xf>
    <xf numFmtId="0" fontId="0" fillId="0" borderId="0" xfId="0" applyAlignment="1" applyProtection="1">
      <alignment horizontal="center"/>
      <protection hidden="1"/>
    </xf>
    <xf numFmtId="0" fontId="41" fillId="0" borderId="0" xfId="19" applyAlignment="1" applyProtection="1">
      <alignment horizontal="center" vertical="center"/>
      <protection hidden="1"/>
    </xf>
    <xf numFmtId="2" fontId="18" fillId="0" borderId="0" xfId="19" applyNumberFormat="1" applyFont="1" applyAlignment="1" applyProtection="1">
      <alignment vertical="center"/>
      <protection hidden="1"/>
    </xf>
    <xf numFmtId="0" fontId="41" fillId="0" borderId="0" xfId="19" applyAlignment="1" applyProtection="1">
      <alignment vertical="center"/>
      <protection hidden="1"/>
    </xf>
    <xf numFmtId="0" fontId="41" fillId="0" borderId="0" xfId="19" applyAlignment="1" applyProtection="1">
      <alignment horizontal="left" vertical="center"/>
      <protection hidden="1"/>
    </xf>
    <xf numFmtId="0" fontId="17" fillId="11" borderId="11" xfId="19" applyFont="1" applyFill="1" applyBorder="1" applyProtection="1">
      <protection hidden="1"/>
    </xf>
    <xf numFmtId="0" fontId="41" fillId="9" borderId="12" xfId="19" applyFill="1" applyBorder="1" applyProtection="1">
      <protection hidden="1"/>
    </xf>
    <xf numFmtId="0" fontId="19" fillId="9" borderId="12" xfId="19" applyFont="1" applyFill="1" applyBorder="1" applyProtection="1">
      <protection hidden="1"/>
    </xf>
    <xf numFmtId="1" fontId="19" fillId="9" borderId="12" xfId="19" applyNumberFormat="1" applyFont="1" applyFill="1" applyBorder="1" applyAlignment="1" applyProtection="1">
      <alignment horizontal="left"/>
      <protection hidden="1"/>
    </xf>
    <xf numFmtId="0" fontId="19" fillId="9" borderId="12" xfId="19" applyFont="1" applyFill="1" applyBorder="1" applyAlignment="1" applyProtection="1">
      <alignment horizontal="center"/>
      <protection hidden="1"/>
    </xf>
    <xf numFmtId="164" fontId="20" fillId="9" borderId="12" xfId="19" applyNumberFormat="1" applyFont="1" applyFill="1" applyBorder="1" applyAlignment="1" applyProtection="1">
      <alignment horizontal="left"/>
      <protection hidden="1"/>
    </xf>
    <xf numFmtId="0" fontId="17" fillId="9" borderId="15" xfId="19" applyFont="1" applyFill="1" applyBorder="1" applyAlignment="1" applyProtection="1">
      <alignment horizontal="center" vertical="center"/>
      <protection hidden="1"/>
    </xf>
    <xf numFmtId="0" fontId="22" fillId="9" borderId="15" xfId="19" applyFont="1" applyFill="1" applyBorder="1" applyAlignment="1" applyProtection="1">
      <alignment horizontal="center" vertical="center" wrapText="1"/>
      <protection hidden="1"/>
    </xf>
    <xf numFmtId="0" fontId="17" fillId="9" borderId="15" xfId="19" applyFont="1" applyFill="1" applyBorder="1" applyAlignment="1" applyProtection="1">
      <alignment horizontal="center" vertical="center" wrapText="1"/>
      <protection hidden="1"/>
    </xf>
    <xf numFmtId="165" fontId="24" fillId="0" borderId="0" xfId="19" applyNumberFormat="1" applyFont="1" applyAlignment="1" applyProtection="1">
      <alignment vertical="center"/>
      <protection hidden="1"/>
    </xf>
    <xf numFmtId="1" fontId="25" fillId="0" borderId="0" xfId="19" applyNumberFormat="1" applyFont="1" applyAlignment="1" applyProtection="1">
      <alignment vertical="center"/>
      <protection hidden="1"/>
    </xf>
    <xf numFmtId="165" fontId="26" fillId="0" borderId="0" xfId="19" applyNumberFormat="1" applyFont="1" applyAlignment="1" applyProtection="1">
      <alignment vertical="center"/>
      <protection hidden="1"/>
    </xf>
    <xf numFmtId="0" fontId="27" fillId="0" borderId="0" xfId="19" applyFont="1" applyAlignment="1" applyProtection="1">
      <alignment horizontal="center" vertical="center"/>
      <protection hidden="1"/>
    </xf>
    <xf numFmtId="0" fontId="29" fillId="9" borderId="19" xfId="19" applyFont="1" applyFill="1" applyBorder="1" applyAlignment="1" applyProtection="1">
      <alignment horizontal="center" vertical="center" wrapText="1" shrinkToFit="1"/>
      <protection locked="0" hidden="1"/>
    </xf>
    <xf numFmtId="0" fontId="28" fillId="9" borderId="19" xfId="19" applyFont="1" applyFill="1" applyBorder="1" applyAlignment="1" applyProtection="1">
      <alignment horizontal="center" vertical="center" wrapText="1" shrinkToFit="1"/>
      <protection locked="0" hidden="1"/>
    </xf>
    <xf numFmtId="1" fontId="18" fillId="12" borderId="20" xfId="19" applyNumberFormat="1" applyFont="1" applyFill="1" applyBorder="1" applyAlignment="1" applyProtection="1">
      <alignment horizontal="center" vertical="center" wrapText="1" shrinkToFit="1"/>
      <protection hidden="1"/>
    </xf>
    <xf numFmtId="0" fontId="28" fillId="12" borderId="20" xfId="19" applyFont="1" applyFill="1" applyBorder="1" applyAlignment="1" applyProtection="1">
      <alignment horizontal="center" vertical="center"/>
      <protection hidden="1"/>
    </xf>
    <xf numFmtId="0" fontId="28" fillId="12" borderId="21" xfId="19" applyFont="1" applyFill="1" applyBorder="1" applyAlignment="1" applyProtection="1">
      <alignment horizontal="center" vertical="center"/>
      <protection hidden="1"/>
    </xf>
    <xf numFmtId="165" fontId="28" fillId="0" borderId="0" xfId="19" applyNumberFormat="1" applyFont="1" applyAlignment="1" applyProtection="1">
      <alignment vertical="center"/>
      <protection hidden="1"/>
    </xf>
    <xf numFmtId="0" fontId="27" fillId="0" borderId="0" xfId="19" applyFont="1" applyAlignment="1" applyProtection="1">
      <alignment vertical="center"/>
      <protection hidden="1"/>
    </xf>
    <xf numFmtId="0" fontId="27" fillId="0" borderId="0" xfId="19" applyFont="1" applyAlignment="1" applyProtection="1">
      <alignment horizontal="left" vertical="center"/>
      <protection hidden="1"/>
    </xf>
    <xf numFmtId="0" fontId="28" fillId="9" borderId="24" xfId="19" applyFont="1" applyFill="1" applyBorder="1" applyAlignment="1" applyProtection="1">
      <alignment horizontal="center" vertical="center" wrapText="1" shrinkToFit="1"/>
      <protection locked="0" hidden="1"/>
    </xf>
    <xf numFmtId="165" fontId="28" fillId="0" borderId="7" xfId="19" applyNumberFormat="1" applyFont="1" applyBorder="1" applyAlignment="1" applyProtection="1">
      <alignment vertical="center"/>
      <protection hidden="1"/>
    </xf>
    <xf numFmtId="0" fontId="41" fillId="0" borderId="0" xfId="19" applyProtection="1">
      <protection hidden="1"/>
    </xf>
    <xf numFmtId="0" fontId="41" fillId="0" borderId="0" xfId="19" applyAlignment="1" applyProtection="1">
      <alignment horizontal="center"/>
      <protection hidden="1"/>
    </xf>
    <xf numFmtId="0" fontId="30" fillId="0" borderId="0" xfId="19" applyFont="1" applyAlignment="1" applyProtection="1">
      <alignment horizontal="center" vertical="center"/>
      <protection hidden="1"/>
    </xf>
    <xf numFmtId="0" fontId="31" fillId="12" borderId="25" xfId="19" applyFont="1" applyFill="1" applyBorder="1" applyAlignment="1" applyProtection="1">
      <alignment horizontal="right" vertical="center" wrapText="1" shrinkToFit="1"/>
      <protection hidden="1"/>
    </xf>
    <xf numFmtId="2" fontId="28" fillId="0" borderId="0" xfId="19" applyNumberFormat="1" applyFont="1" applyAlignment="1" applyProtection="1">
      <alignment vertical="center"/>
      <protection hidden="1"/>
    </xf>
    <xf numFmtId="0" fontId="17" fillId="9" borderId="25" xfId="19" applyFont="1" applyFill="1" applyBorder="1" applyAlignment="1" applyProtection="1">
      <alignment vertical="center"/>
      <protection hidden="1"/>
    </xf>
    <xf numFmtId="0" fontId="19" fillId="9" borderId="29" xfId="19" applyFont="1" applyFill="1" applyBorder="1" applyAlignment="1" applyProtection="1">
      <alignment horizontal="center" vertical="center"/>
      <protection hidden="1"/>
    </xf>
    <xf numFmtId="0" fontId="19" fillId="9" borderId="29" xfId="19" applyFont="1" applyFill="1" applyBorder="1" applyAlignment="1" applyProtection="1">
      <alignment horizontal="right" vertical="center"/>
      <protection hidden="1"/>
    </xf>
    <xf numFmtId="164" fontId="19" fillId="9" borderId="29" xfId="19" applyNumberFormat="1" applyFont="1" applyFill="1" applyBorder="1" applyAlignment="1" applyProtection="1">
      <alignment horizontal="center" vertical="center"/>
      <protection hidden="1"/>
    </xf>
    <xf numFmtId="0" fontId="23" fillId="9" borderId="30" xfId="19" applyFont="1" applyFill="1" applyBorder="1" applyAlignment="1" applyProtection="1">
      <alignment horizontal="center" vertical="center" wrapText="1"/>
      <protection hidden="1"/>
    </xf>
    <xf numFmtId="0" fontId="23" fillId="9" borderId="31" xfId="19" applyFont="1" applyFill="1" applyBorder="1" applyAlignment="1" applyProtection="1">
      <alignment horizontal="center" vertical="center" wrapText="1"/>
      <protection hidden="1"/>
    </xf>
    <xf numFmtId="165" fontId="26" fillId="0" borderId="0" xfId="19" applyNumberFormat="1" applyFont="1" applyAlignment="1" applyProtection="1">
      <alignment horizontal="center" vertical="center" wrapText="1"/>
      <protection hidden="1"/>
    </xf>
    <xf numFmtId="0" fontId="27" fillId="9" borderId="33" xfId="19" applyFont="1" applyFill="1" applyBorder="1" applyAlignment="1" applyProtection="1">
      <alignment horizontal="center" vertical="center" wrapText="1"/>
      <protection locked="0" hidden="1"/>
    </xf>
    <xf numFmtId="0" fontId="0" fillId="0" borderId="0" xfId="0" applyProtection="1">
      <protection locked="0" hidden="1"/>
    </xf>
    <xf numFmtId="0" fontId="0" fillId="0" borderId="33" xfId="0" applyBorder="1" applyAlignment="1" applyProtection="1">
      <alignment horizontal="center"/>
      <protection locked="0" hidden="1"/>
    </xf>
    <xf numFmtId="0" fontId="27" fillId="0" borderId="33" xfId="19" applyFont="1" applyBorder="1" applyAlignment="1" applyProtection="1">
      <alignment horizontal="center" vertical="center" wrapText="1"/>
      <protection locked="0" hidden="1"/>
    </xf>
    <xf numFmtId="165" fontId="41" fillId="0" borderId="0" xfId="19" applyNumberFormat="1" applyAlignment="1" applyProtection="1">
      <alignment horizontal="center" vertical="center" wrapText="1"/>
      <protection hidden="1"/>
    </xf>
    <xf numFmtId="0" fontId="31" fillId="13" borderId="29" xfId="19" applyFont="1" applyFill="1" applyBorder="1" applyAlignment="1" applyProtection="1">
      <alignment vertical="center" wrapText="1" shrinkToFit="1"/>
      <protection hidden="1"/>
    </xf>
    <xf numFmtId="165" fontId="31" fillId="13" borderId="34" xfId="19" applyNumberFormat="1" applyFont="1" applyFill="1" applyBorder="1" applyAlignment="1" applyProtection="1">
      <alignment horizontal="center" vertical="center" wrapText="1" shrinkToFit="1"/>
      <protection hidden="1"/>
    </xf>
    <xf numFmtId="0" fontId="19" fillId="9" borderId="27" xfId="19" applyFont="1" applyFill="1" applyBorder="1" applyAlignment="1" applyProtection="1">
      <alignment horizontal="right" vertical="center"/>
      <protection hidden="1"/>
    </xf>
    <xf numFmtId="1" fontId="32" fillId="9" borderId="27" xfId="19" applyNumberFormat="1" applyFont="1" applyFill="1" applyBorder="1" applyAlignment="1" applyProtection="1">
      <alignment horizontal="center" vertical="center" wrapText="1" shrinkToFit="1"/>
      <protection hidden="1"/>
    </xf>
    <xf numFmtId="164" fontId="19" fillId="9" borderId="27" xfId="19" applyNumberFormat="1" applyFont="1" applyFill="1" applyBorder="1" applyAlignment="1" applyProtection="1">
      <alignment horizontal="left" vertical="center"/>
      <protection hidden="1"/>
    </xf>
    <xf numFmtId="165" fontId="18" fillId="0" borderId="0" xfId="19" applyNumberFormat="1" applyFont="1" applyAlignment="1" applyProtection="1">
      <alignment vertical="center"/>
      <protection hidden="1"/>
    </xf>
    <xf numFmtId="0" fontId="28" fillId="12" borderId="40" xfId="19" applyFont="1" applyFill="1" applyBorder="1" applyAlignment="1" applyProtection="1">
      <alignment vertical="center" wrapText="1"/>
      <protection hidden="1"/>
    </xf>
    <xf numFmtId="0" fontId="27" fillId="0" borderId="41" xfId="19" applyFont="1" applyBorder="1" applyAlignment="1" applyProtection="1">
      <alignment horizontal="center" vertical="center" wrapText="1"/>
      <protection locked="0" hidden="1"/>
    </xf>
    <xf numFmtId="0" fontId="27" fillId="0" borderId="42" xfId="19" applyFont="1" applyBorder="1" applyAlignment="1" applyProtection="1">
      <alignment horizontal="center" vertical="center" wrapText="1"/>
      <protection hidden="1"/>
    </xf>
    <xf numFmtId="0" fontId="27" fillId="0" borderId="43" xfId="19" applyFont="1" applyBorder="1" applyAlignment="1" applyProtection="1">
      <alignment horizontal="center" vertical="center" wrapText="1"/>
      <protection locked="0" hidden="1"/>
    </xf>
    <xf numFmtId="0" fontId="31" fillId="12" borderId="44" xfId="19" applyFont="1" applyFill="1" applyBorder="1" applyAlignment="1" applyProtection="1">
      <alignment horizontal="right" vertical="center" wrapText="1" shrinkToFit="1"/>
      <protection hidden="1"/>
    </xf>
    <xf numFmtId="0" fontId="22" fillId="9" borderId="35" xfId="19" applyFont="1" applyFill="1" applyBorder="1" applyAlignment="1" applyProtection="1">
      <alignment vertical="center"/>
      <protection hidden="1"/>
    </xf>
    <xf numFmtId="0" fontId="33" fillId="9" borderId="27" xfId="19" applyFont="1" applyFill="1" applyBorder="1" applyAlignment="1" applyProtection="1">
      <alignment vertical="center"/>
      <protection hidden="1"/>
    </xf>
    <xf numFmtId="1" fontId="19" fillId="9" borderId="27" xfId="19" applyNumberFormat="1" applyFont="1" applyFill="1" applyBorder="1" applyAlignment="1" applyProtection="1">
      <alignment horizontal="left" vertical="center" wrapText="1" shrinkToFit="1"/>
      <protection hidden="1"/>
    </xf>
    <xf numFmtId="0" fontId="34" fillId="9" borderId="27" xfId="19" applyFont="1" applyFill="1" applyBorder="1" applyAlignment="1" applyProtection="1">
      <alignment horizontal="right" vertical="center"/>
      <protection hidden="1"/>
    </xf>
    <xf numFmtId="164" fontId="34" fillId="9" borderId="27" xfId="19" applyNumberFormat="1" applyFont="1" applyFill="1" applyBorder="1" applyAlignment="1" applyProtection="1">
      <alignment horizontal="center" vertical="center"/>
      <protection hidden="1"/>
    </xf>
    <xf numFmtId="165" fontId="25" fillId="0" borderId="0" xfId="19" applyNumberFormat="1" applyFont="1" applyAlignment="1" applyProtection="1">
      <alignment vertical="center"/>
      <protection hidden="1"/>
    </xf>
    <xf numFmtId="0" fontId="28" fillId="12" borderId="39" xfId="19" applyFont="1" applyFill="1" applyBorder="1" applyAlignment="1" applyProtection="1">
      <alignment horizontal="left" vertical="center" wrapText="1"/>
      <protection hidden="1"/>
    </xf>
    <xf numFmtId="0" fontId="27" fillId="0" borderId="46" xfId="19" applyFont="1" applyBorder="1" applyAlignment="1" applyProtection="1">
      <alignment horizontal="center" vertical="center" wrapText="1"/>
      <protection locked="0" hidden="1"/>
    </xf>
    <xf numFmtId="0" fontId="27" fillId="0" borderId="49" xfId="19" applyFont="1" applyBorder="1" applyAlignment="1" applyProtection="1">
      <alignment horizontal="center" vertical="center" wrapText="1"/>
      <protection locked="0" hidden="1"/>
    </xf>
    <xf numFmtId="0" fontId="27" fillId="0" borderId="52" xfId="19" applyFont="1" applyBorder="1" applyAlignment="1" applyProtection="1">
      <alignment horizontal="center" vertical="center" wrapText="1"/>
      <protection locked="0" hidden="1"/>
    </xf>
    <xf numFmtId="0" fontId="31" fillId="12" borderId="29" xfId="19" applyFont="1" applyFill="1" applyBorder="1" applyAlignment="1" applyProtection="1">
      <alignment vertical="center" wrapText="1" shrinkToFit="1"/>
      <protection hidden="1"/>
    </xf>
    <xf numFmtId="0" fontId="30" fillId="0" borderId="0" xfId="19" applyFont="1" applyAlignment="1" applyProtection="1">
      <alignment horizontal="left" vertical="center"/>
      <protection hidden="1"/>
    </xf>
    <xf numFmtId="0" fontId="17" fillId="9" borderId="53" xfId="19" applyFont="1" applyFill="1" applyBorder="1" applyAlignment="1" applyProtection="1">
      <alignment vertical="center"/>
      <protection hidden="1"/>
    </xf>
    <xf numFmtId="0" fontId="17" fillId="9" borderId="0" xfId="19" applyFont="1" applyFill="1" applyAlignment="1" applyProtection="1">
      <alignment vertical="center"/>
      <protection hidden="1"/>
    </xf>
    <xf numFmtId="0" fontId="33" fillId="9" borderId="0" xfId="19" applyFont="1" applyFill="1" applyAlignment="1" applyProtection="1">
      <alignment vertical="center"/>
      <protection hidden="1"/>
    </xf>
    <xf numFmtId="0" fontId="19" fillId="9" borderId="0" xfId="19" applyFont="1" applyFill="1" applyAlignment="1" applyProtection="1">
      <alignment horizontal="right" vertical="center"/>
      <protection hidden="1"/>
    </xf>
    <xf numFmtId="164" fontId="19" fillId="9" borderId="0" xfId="19" applyNumberFormat="1" applyFont="1" applyFill="1" applyAlignment="1" applyProtection="1">
      <alignment horizontal="center" vertical="center"/>
      <protection hidden="1"/>
    </xf>
    <xf numFmtId="165" fontId="41" fillId="0" borderId="0" xfId="19" applyNumberFormat="1" applyAlignment="1" applyProtection="1">
      <alignment horizontal="center"/>
      <protection hidden="1"/>
    </xf>
    <xf numFmtId="0" fontId="17" fillId="9" borderId="55" xfId="19" applyFont="1" applyFill="1" applyBorder="1" applyAlignment="1" applyProtection="1">
      <alignment horizontal="center" vertical="center"/>
      <protection hidden="1"/>
    </xf>
    <xf numFmtId="0" fontId="17" fillId="9" borderId="33" xfId="19" applyFont="1" applyFill="1" applyBorder="1" applyAlignment="1" applyProtection="1">
      <alignment horizontal="center" vertical="center"/>
      <protection hidden="1"/>
    </xf>
    <xf numFmtId="0" fontId="17" fillId="9" borderId="57" xfId="19" applyFont="1" applyFill="1" applyBorder="1" applyAlignment="1" applyProtection="1">
      <alignment horizontal="center" vertical="center"/>
      <protection hidden="1"/>
    </xf>
    <xf numFmtId="0" fontId="28" fillId="12" borderId="59" xfId="19" applyFont="1" applyFill="1" applyBorder="1" applyAlignment="1" applyProtection="1">
      <alignment horizontal="left" vertical="center" wrapText="1"/>
      <protection hidden="1"/>
    </xf>
    <xf numFmtId="0" fontId="28" fillId="9" borderId="60" xfId="19" applyFont="1" applyFill="1" applyBorder="1" applyAlignment="1" applyProtection="1">
      <alignment horizontal="center" vertical="center" wrapText="1"/>
      <protection locked="0" hidden="1"/>
    </xf>
    <xf numFmtId="0" fontId="27" fillId="0" borderId="61" xfId="19" applyFont="1" applyBorder="1" applyAlignment="1" applyProtection="1">
      <alignment horizontal="center" vertical="center" wrapText="1"/>
      <protection hidden="1"/>
    </xf>
    <xf numFmtId="165" fontId="15" fillId="0" borderId="0" xfId="19" applyNumberFormat="1" applyFont="1" applyAlignment="1" applyProtection="1">
      <alignment horizontal="center"/>
      <protection hidden="1"/>
    </xf>
    <xf numFmtId="0" fontId="28" fillId="12" borderId="53" xfId="19" applyFont="1" applyFill="1" applyBorder="1" applyAlignment="1" applyProtection="1">
      <alignment horizontal="left" vertical="center" wrapText="1"/>
      <protection hidden="1"/>
    </xf>
    <xf numFmtId="0" fontId="28" fillId="9" borderId="62" xfId="19" applyFont="1" applyFill="1" applyBorder="1" applyAlignment="1" applyProtection="1">
      <alignment horizontal="center" vertical="center" wrapText="1"/>
      <protection locked="0" hidden="1"/>
    </xf>
    <xf numFmtId="0" fontId="28" fillId="12" borderId="62" xfId="19" applyFont="1" applyFill="1" applyBorder="1" applyAlignment="1" applyProtection="1">
      <alignment horizontal="center" vertical="center" wrapText="1"/>
      <protection hidden="1"/>
    </xf>
    <xf numFmtId="0" fontId="27" fillId="0" borderId="63" xfId="19" applyFont="1" applyBorder="1" applyAlignment="1" applyProtection="1">
      <alignment horizontal="center" vertical="center" wrapText="1"/>
      <protection locked="0" hidden="1"/>
    </xf>
    <xf numFmtId="49" fontId="22" fillId="9" borderId="66" xfId="19" applyNumberFormat="1" applyFont="1" applyFill="1" applyBorder="1" applyAlignment="1" applyProtection="1">
      <alignment horizontal="center" vertical="center" wrapText="1"/>
      <protection hidden="1"/>
    </xf>
    <xf numFmtId="0" fontId="0" fillId="9" borderId="33" xfId="0" applyFill="1" applyBorder="1" applyProtection="1">
      <protection hidden="1"/>
    </xf>
    <xf numFmtId="0" fontId="0" fillId="9" borderId="68" xfId="0" applyFill="1" applyBorder="1" applyProtection="1">
      <protection hidden="1"/>
    </xf>
    <xf numFmtId="0" fontId="27" fillId="9" borderId="59" xfId="19" applyFont="1" applyFill="1" applyBorder="1" applyAlignment="1" applyProtection="1">
      <alignment vertical="center" wrapText="1"/>
      <protection hidden="1"/>
    </xf>
    <xf numFmtId="0" fontId="35" fillId="0" borderId="60" xfId="0" applyFont="1" applyBorder="1" applyAlignment="1" applyProtection="1">
      <alignment horizontal="center" vertical="center"/>
      <protection hidden="1"/>
    </xf>
    <xf numFmtId="0" fontId="35" fillId="9" borderId="48" xfId="19" applyFont="1" applyFill="1" applyBorder="1" applyAlignment="1" applyProtection="1">
      <alignment horizontal="center" vertical="center"/>
      <protection hidden="1"/>
    </xf>
    <xf numFmtId="49" fontId="27" fillId="11" borderId="48" xfId="19" applyNumberFormat="1" applyFont="1" applyFill="1" applyBorder="1" applyAlignment="1" applyProtection="1">
      <alignment vertical="center" wrapText="1"/>
      <protection hidden="1"/>
    </xf>
    <xf numFmtId="0" fontId="27" fillId="12" borderId="49" xfId="19" applyFont="1" applyFill="1" applyBorder="1" applyAlignment="1" applyProtection="1">
      <alignment horizontal="center" vertical="center" wrapText="1"/>
      <protection hidden="1"/>
    </xf>
    <xf numFmtId="0" fontId="19" fillId="12" borderId="25" xfId="19" applyFont="1" applyFill="1" applyBorder="1" applyAlignment="1" applyProtection="1">
      <alignment horizontal="right" vertical="center"/>
      <protection hidden="1"/>
    </xf>
    <xf numFmtId="0" fontId="19" fillId="12" borderId="69" xfId="19" applyFont="1" applyFill="1" applyBorder="1" applyAlignment="1" applyProtection="1">
      <alignment vertical="center"/>
      <protection hidden="1"/>
    </xf>
    <xf numFmtId="0" fontId="27" fillId="12" borderId="70" xfId="19" applyFont="1" applyFill="1" applyBorder="1" applyAlignment="1" applyProtection="1">
      <alignment horizontal="center" vertical="center"/>
      <protection hidden="1"/>
    </xf>
    <xf numFmtId="0" fontId="17" fillId="9" borderId="72" xfId="19" applyFont="1" applyFill="1" applyBorder="1" applyAlignment="1" applyProtection="1">
      <alignment horizontal="center" vertical="center" wrapText="1"/>
      <protection hidden="1"/>
    </xf>
    <xf numFmtId="165" fontId="30" fillId="12" borderId="46" xfId="19" applyNumberFormat="1" applyFont="1" applyFill="1" applyBorder="1" applyAlignment="1" applyProtection="1">
      <alignment horizontal="center" vertical="center"/>
      <protection hidden="1"/>
    </xf>
    <xf numFmtId="165" fontId="30" fillId="12" borderId="49" xfId="19" applyNumberFormat="1" applyFont="1" applyFill="1" applyBorder="1" applyAlignment="1" applyProtection="1">
      <alignment horizontal="center" vertical="center"/>
      <protection hidden="1"/>
    </xf>
    <xf numFmtId="165" fontId="41" fillId="0" borderId="0" xfId="19" applyNumberFormat="1" applyProtection="1">
      <protection hidden="1"/>
    </xf>
    <xf numFmtId="165" fontId="30" fillId="12" borderId="74" xfId="19" applyNumberFormat="1" applyFont="1" applyFill="1" applyBorder="1" applyAlignment="1" applyProtection="1">
      <alignment horizontal="center" vertical="center"/>
      <protection hidden="1"/>
    </xf>
    <xf numFmtId="1" fontId="28" fillId="0" borderId="0" xfId="19" applyNumberFormat="1" applyFont="1" applyAlignment="1" applyProtection="1">
      <alignment vertical="center"/>
      <protection hidden="1"/>
    </xf>
    <xf numFmtId="0" fontId="20" fillId="9" borderId="79" xfId="19" applyFont="1" applyFill="1" applyBorder="1" applyAlignment="1" applyProtection="1">
      <alignment vertical="center"/>
      <protection hidden="1"/>
    </xf>
    <xf numFmtId="0" fontId="20" fillId="9" borderId="81" xfId="19" applyFont="1" applyFill="1" applyBorder="1" applyAlignment="1" applyProtection="1">
      <alignment vertical="center"/>
      <protection hidden="1"/>
    </xf>
    <xf numFmtId="0" fontId="0" fillId="0" borderId="83" xfId="0" applyBorder="1" applyProtection="1">
      <protection hidden="1"/>
    </xf>
    <xf numFmtId="0" fontId="30" fillId="0" borderId="84" xfId="19" applyFont="1" applyBorder="1" applyProtection="1">
      <protection hidden="1"/>
    </xf>
    <xf numFmtId="0" fontId="30" fillId="0" borderId="3" xfId="19" applyFont="1" applyBorder="1" applyProtection="1">
      <protection hidden="1"/>
    </xf>
    <xf numFmtId="0" fontId="0" fillId="0" borderId="85" xfId="0" applyBorder="1" applyAlignment="1" applyProtection="1">
      <alignment horizontal="center" vertical="center"/>
      <protection hidden="1"/>
    </xf>
    <xf numFmtId="0" fontId="0" fillId="0" borderId="0" xfId="0" applyAlignment="1" applyProtection="1">
      <alignment horizontal="center" vertical="center"/>
      <protection hidden="1"/>
    </xf>
    <xf numFmtId="0" fontId="36" fillId="0" borderId="86" xfId="0" applyFont="1" applyBorder="1" applyAlignment="1" applyProtection="1">
      <alignment horizontal="center" vertical="center"/>
      <protection hidden="1"/>
    </xf>
    <xf numFmtId="0" fontId="0" fillId="0" borderId="0" xfId="0" applyAlignment="1" applyProtection="1">
      <alignment horizontal="center" vertical="center" wrapText="1"/>
      <protection hidden="1"/>
    </xf>
    <xf numFmtId="0" fontId="0" fillId="0" borderId="86" xfId="0" applyBorder="1" applyAlignment="1" applyProtection="1">
      <alignment horizontal="center" vertical="center" wrapText="1"/>
      <protection hidden="1"/>
    </xf>
    <xf numFmtId="0" fontId="41" fillId="0" borderId="87" xfId="19" applyBorder="1" applyProtection="1">
      <protection hidden="1"/>
    </xf>
    <xf numFmtId="0" fontId="30" fillId="0" borderId="9" xfId="19" applyFont="1" applyBorder="1" applyProtection="1">
      <protection hidden="1"/>
    </xf>
    <xf numFmtId="0" fontId="28" fillId="0" borderId="9" xfId="19" applyFont="1" applyBorder="1" applyAlignment="1" applyProtection="1">
      <alignment vertical="center" wrapText="1"/>
      <protection hidden="1"/>
    </xf>
    <xf numFmtId="0" fontId="15" fillId="0" borderId="0" xfId="0" applyFont="1"/>
    <xf numFmtId="0" fontId="15" fillId="0" borderId="0" xfId="0" applyFont="1" applyAlignment="1">
      <alignment vertical="center" wrapText="1"/>
    </xf>
    <xf numFmtId="0" fontId="19" fillId="11" borderId="68" xfId="0" applyFont="1" applyFill="1" applyBorder="1" applyAlignment="1">
      <alignment horizontal="center" vertical="center" wrapText="1"/>
    </xf>
    <xf numFmtId="0" fontId="19" fillId="11" borderId="67" xfId="0" applyFont="1" applyFill="1" applyBorder="1" applyAlignment="1">
      <alignment horizontal="center" vertical="center" wrapText="1"/>
    </xf>
    <xf numFmtId="0" fontId="27" fillId="0" borderId="26" xfId="0" applyFont="1" applyBorder="1" applyAlignment="1" applyProtection="1">
      <alignment vertical="center" wrapText="1"/>
      <protection locked="0"/>
    </xf>
    <xf numFmtId="0" fontId="27" fillId="0" borderId="72" xfId="0" applyFont="1" applyBorder="1" applyAlignment="1" applyProtection="1">
      <alignment vertical="center" wrapText="1"/>
      <protection locked="0"/>
    </xf>
    <xf numFmtId="0" fontId="27" fillId="0" borderId="0" xfId="0" applyFont="1" applyAlignment="1" applyProtection="1">
      <alignment vertical="center" wrapText="1"/>
      <protection locked="0"/>
    </xf>
    <xf numFmtId="0" fontId="27" fillId="0" borderId="33" xfId="0" applyFont="1" applyBorder="1" applyAlignment="1" applyProtection="1">
      <alignment vertical="center" wrapText="1"/>
      <protection locked="0"/>
    </xf>
    <xf numFmtId="0" fontId="27" fillId="0" borderId="90" xfId="0" applyFont="1" applyBorder="1" applyAlignment="1" applyProtection="1">
      <alignment vertical="center" wrapText="1"/>
      <protection locked="0"/>
    </xf>
    <xf numFmtId="0" fontId="15" fillId="0" borderId="0" xfId="0" applyFont="1" applyAlignment="1" applyProtection="1">
      <alignment vertical="center" wrapText="1"/>
      <protection locked="0"/>
    </xf>
    <xf numFmtId="0" fontId="19" fillId="11" borderId="94" xfId="0" applyFont="1" applyFill="1" applyBorder="1" applyAlignment="1" applyProtection="1">
      <alignment horizontal="center" vertical="center" wrapText="1"/>
      <protection hidden="1"/>
    </xf>
    <xf numFmtId="0" fontId="19" fillId="11" borderId="95" xfId="0" applyFont="1" applyFill="1" applyBorder="1" applyAlignment="1" applyProtection="1">
      <alignment horizontal="center" vertical="center" wrapText="1"/>
      <protection hidden="1"/>
    </xf>
    <xf numFmtId="0" fontId="15" fillId="0" borderId="7" xfId="0" applyFont="1" applyBorder="1" applyAlignment="1">
      <alignment horizontal="left" vertical="center" wrapText="1"/>
    </xf>
    <xf numFmtId="0" fontId="27" fillId="0" borderId="58" xfId="0" applyFont="1" applyBorder="1" applyAlignment="1" applyProtection="1">
      <alignment vertical="center" wrapText="1"/>
      <protection locked="0"/>
    </xf>
    <xf numFmtId="0" fontId="27" fillId="0" borderId="96" xfId="0" applyFont="1" applyBorder="1" applyAlignment="1" applyProtection="1">
      <alignment vertical="center" wrapText="1"/>
      <protection locked="0"/>
    </xf>
    <xf numFmtId="0" fontId="27" fillId="0" borderId="94" xfId="0" applyFont="1" applyBorder="1" applyAlignment="1" applyProtection="1">
      <alignment vertical="center" wrapText="1"/>
      <protection locked="0"/>
    </xf>
    <xf numFmtId="0" fontId="27" fillId="0" borderId="95" xfId="0" applyFont="1" applyBorder="1" applyAlignment="1" applyProtection="1">
      <alignment vertical="center" wrapText="1"/>
      <protection locked="0"/>
    </xf>
    <xf numFmtId="0" fontId="27" fillId="0" borderId="68" xfId="0" applyFont="1" applyBorder="1" applyAlignment="1" applyProtection="1">
      <alignment vertical="center" wrapText="1"/>
      <protection locked="0"/>
    </xf>
    <xf numFmtId="0" fontId="27" fillId="0" borderId="67" xfId="0" applyFont="1" applyBorder="1" applyAlignment="1" applyProtection="1">
      <alignment vertical="center" wrapText="1"/>
      <protection locked="0"/>
    </xf>
    <xf numFmtId="0" fontId="27" fillId="0" borderId="98" xfId="0" applyFont="1" applyBorder="1" applyAlignment="1">
      <alignment horizontal="left" vertical="center" wrapText="1" indent="15"/>
    </xf>
    <xf numFmtId="0" fontId="27" fillId="0" borderId="97" xfId="0" applyFont="1" applyBorder="1" applyAlignment="1">
      <alignment horizontal="left" vertical="center" wrapText="1" indent="15"/>
    </xf>
    <xf numFmtId="0" fontId="15" fillId="0" borderId="0" xfId="0" applyFont="1" applyAlignment="1">
      <alignment wrapText="1"/>
    </xf>
    <xf numFmtId="0" fontId="36" fillId="0" borderId="0" xfId="0" applyFont="1" applyAlignment="1" applyProtection="1">
      <alignment horizontal="center" vertical="center"/>
      <protection hidden="1"/>
    </xf>
    <xf numFmtId="0" fontId="20" fillId="0" borderId="0" xfId="19" applyFont="1" applyAlignment="1" applyProtection="1">
      <alignment horizontal="center" wrapText="1"/>
      <protection hidden="1"/>
    </xf>
    <xf numFmtId="0" fontId="28" fillId="9" borderId="24" xfId="19" applyFont="1" applyFill="1" applyBorder="1" applyAlignment="1" applyProtection="1">
      <alignment horizontal="center" vertical="center" wrapText="1" shrinkToFit="1"/>
      <protection locked="0"/>
    </xf>
    <xf numFmtId="0" fontId="13" fillId="0" borderId="2" xfId="0" applyFont="1" applyBorder="1" applyAlignment="1" applyProtection="1">
      <alignment horizontal="center" vertical="center"/>
      <protection hidden="1"/>
    </xf>
    <xf numFmtId="0" fontId="14" fillId="0" borderId="3" xfId="0" applyFont="1" applyBorder="1" applyAlignment="1" applyProtection="1">
      <alignment horizontal="center" vertical="center" wrapText="1"/>
      <protection hidden="1"/>
    </xf>
    <xf numFmtId="0" fontId="22" fillId="9" borderId="4" xfId="0" applyFont="1" applyFill="1" applyBorder="1" applyAlignment="1" applyProtection="1">
      <alignment horizontal="left" vertical="center" wrapText="1"/>
      <protection hidden="1"/>
    </xf>
    <xf numFmtId="0" fontId="0" fillId="0" borderId="5" xfId="0" applyBorder="1" applyAlignment="1" applyProtection="1">
      <alignment horizontal="left" wrapText="1"/>
      <protection locked="0"/>
    </xf>
    <xf numFmtId="0" fontId="0" fillId="0" borderId="6" xfId="0" applyBorder="1" applyAlignment="1" applyProtection="1">
      <alignment horizontal="left" vertical="center" wrapText="1"/>
      <protection locked="0" hidden="1"/>
    </xf>
    <xf numFmtId="0" fontId="1" fillId="0" borderId="6" xfId="0" applyFont="1" applyBorder="1" applyAlignment="1" applyProtection="1">
      <alignment horizontal="left" vertical="center" wrapText="1"/>
      <protection locked="0" hidden="1"/>
    </xf>
    <xf numFmtId="0" fontId="0" fillId="0" borderId="103" xfId="0" applyBorder="1" applyAlignment="1" applyProtection="1">
      <alignment horizontal="left" vertical="center" wrapText="1"/>
      <protection locked="0" hidden="1"/>
    </xf>
    <xf numFmtId="49" fontId="16" fillId="0" borderId="0" xfId="0" applyNumberFormat="1" applyFont="1" applyProtection="1">
      <protection locked="0" hidden="1"/>
    </xf>
    <xf numFmtId="0" fontId="0" fillId="0" borderId="5" xfId="0" applyBorder="1" applyAlignment="1" applyProtection="1">
      <alignment horizontal="left" vertical="center" wrapText="1"/>
      <protection locked="0" hidden="1"/>
    </xf>
    <xf numFmtId="0" fontId="1" fillId="0" borderId="5" xfId="0" applyFont="1" applyBorder="1" applyAlignment="1" applyProtection="1">
      <alignment horizontal="left" vertical="center" wrapText="1"/>
      <protection locked="0" hidden="1"/>
    </xf>
    <xf numFmtId="14" fontId="0" fillId="0" borderId="6" xfId="0" applyNumberFormat="1" applyBorder="1" applyAlignment="1" applyProtection="1">
      <alignment horizontal="left" vertical="center"/>
      <protection locked="0" hidden="1"/>
    </xf>
    <xf numFmtId="0" fontId="22" fillId="9" borderId="7" xfId="0" applyFont="1" applyFill="1" applyBorder="1" applyAlignment="1" applyProtection="1">
      <alignment horizontal="left" vertical="center" wrapText="1"/>
      <protection hidden="1"/>
    </xf>
    <xf numFmtId="0" fontId="22" fillId="9" borderId="8" xfId="0" applyFont="1" applyFill="1" applyBorder="1" applyAlignment="1" applyProtection="1">
      <alignment horizontal="left" vertical="center" wrapText="1"/>
      <protection hidden="1"/>
    </xf>
    <xf numFmtId="14" fontId="0" fillId="0" borderId="99" xfId="0" applyNumberFormat="1" applyBorder="1" applyAlignment="1" applyProtection="1">
      <alignment horizontal="left" vertical="center" wrapText="1"/>
      <protection locked="0" hidden="1"/>
    </xf>
    <xf numFmtId="14" fontId="0" fillId="0" borderId="102" xfId="0" applyNumberFormat="1" applyBorder="1" applyAlignment="1" applyProtection="1">
      <alignment horizontal="left" vertical="center" wrapText="1"/>
      <protection locked="0" hidden="1"/>
    </xf>
    <xf numFmtId="14" fontId="0" fillId="0" borderId="100" xfId="0" applyNumberFormat="1" applyBorder="1" applyAlignment="1" applyProtection="1">
      <alignment horizontal="left" vertical="center" wrapText="1"/>
      <protection locked="0" hidden="1"/>
    </xf>
    <xf numFmtId="14" fontId="0" fillId="0" borderId="101" xfId="0" applyNumberFormat="1" applyBorder="1" applyAlignment="1" applyProtection="1">
      <alignment horizontal="left" vertical="center" wrapText="1"/>
      <protection locked="0" hidden="1"/>
    </xf>
    <xf numFmtId="0" fontId="17" fillId="10" borderId="10" xfId="19" applyFont="1" applyFill="1" applyBorder="1" applyAlignment="1" applyProtection="1">
      <alignment horizontal="center" vertical="center"/>
      <protection hidden="1"/>
    </xf>
    <xf numFmtId="0" fontId="22" fillId="9" borderId="99" xfId="0" applyFont="1" applyFill="1" applyBorder="1" applyAlignment="1" applyProtection="1">
      <alignment horizontal="left" vertical="center" wrapText="1"/>
      <protection hidden="1"/>
    </xf>
    <xf numFmtId="0" fontId="22" fillId="9" borderId="102" xfId="0" applyFont="1" applyFill="1" applyBorder="1" applyAlignment="1" applyProtection="1">
      <alignment horizontal="left" vertical="center" wrapText="1"/>
      <protection hidden="1"/>
    </xf>
    <xf numFmtId="0" fontId="21" fillId="9" borderId="13" xfId="19" applyFont="1" applyFill="1" applyBorder="1" applyAlignment="1" applyProtection="1">
      <alignment horizontal="center"/>
      <protection hidden="1"/>
    </xf>
    <xf numFmtId="0" fontId="17" fillId="9" borderId="14" xfId="19" applyFont="1" applyFill="1" applyBorder="1" applyAlignment="1" applyProtection="1">
      <alignment horizontal="center" vertical="center"/>
      <protection hidden="1"/>
    </xf>
    <xf numFmtId="0" fontId="17" fillId="9" borderId="15" xfId="19" applyFont="1" applyFill="1" applyBorder="1" applyAlignment="1" applyProtection="1">
      <alignment horizontal="center" vertical="center"/>
      <protection hidden="1"/>
    </xf>
    <xf numFmtId="0" fontId="23" fillId="9" borderId="16" xfId="19" applyFont="1" applyFill="1" applyBorder="1" applyAlignment="1" applyProtection="1">
      <alignment horizontal="center" vertical="center" wrapText="1"/>
      <protection hidden="1"/>
    </xf>
    <xf numFmtId="0" fontId="28" fillId="9" borderId="17" xfId="19" applyFont="1" applyFill="1" applyBorder="1" applyAlignment="1" applyProtection="1">
      <alignment horizontal="justify" vertical="center" wrapText="1" shrinkToFit="1"/>
      <protection locked="0" hidden="1"/>
    </xf>
    <xf numFmtId="0" fontId="28" fillId="9" borderId="18" xfId="19" applyFont="1" applyFill="1" applyBorder="1" applyAlignment="1" applyProtection="1">
      <alignment horizontal="center" vertical="center" wrapText="1" shrinkToFit="1"/>
      <protection locked="0" hidden="1"/>
    </xf>
    <xf numFmtId="0" fontId="28" fillId="9" borderId="22" xfId="19" applyFont="1" applyFill="1" applyBorder="1" applyAlignment="1" applyProtection="1">
      <alignment horizontal="justify" vertical="center" wrapText="1" shrinkToFit="1"/>
      <protection locked="0" hidden="1"/>
    </xf>
    <xf numFmtId="0" fontId="28" fillId="9" borderId="23" xfId="19" applyFont="1" applyFill="1" applyBorder="1" applyAlignment="1" applyProtection="1">
      <alignment horizontal="center" vertical="center" wrapText="1" shrinkToFit="1"/>
      <protection locked="0" hidden="1"/>
    </xf>
    <xf numFmtId="0" fontId="31" fillId="12" borderId="25" xfId="19" applyFont="1" applyFill="1" applyBorder="1" applyAlignment="1" applyProtection="1">
      <alignment horizontal="right" vertical="center" wrapText="1" shrinkToFit="1"/>
      <protection hidden="1"/>
    </xf>
    <xf numFmtId="165" fontId="31" fillId="13" borderId="28" xfId="19" applyNumberFormat="1" applyFont="1" applyFill="1" applyBorder="1" applyAlignment="1" applyProtection="1">
      <alignment horizontal="center" vertical="center" wrapText="1" shrinkToFit="1"/>
      <protection hidden="1"/>
    </xf>
    <xf numFmtId="0" fontId="19" fillId="9" borderId="29" xfId="19" applyFont="1" applyFill="1" applyBorder="1" applyAlignment="1" applyProtection="1">
      <alignment horizontal="center" vertical="center"/>
      <protection hidden="1"/>
    </xf>
    <xf numFmtId="0" fontId="28" fillId="9" borderId="32" xfId="19" applyFont="1" applyFill="1" applyBorder="1" applyAlignment="1" applyProtection="1">
      <alignment horizontal="left" vertical="center"/>
      <protection locked="0" hidden="1"/>
    </xf>
    <xf numFmtId="0" fontId="28" fillId="9" borderId="22" xfId="19" applyFont="1" applyFill="1" applyBorder="1" applyAlignment="1" applyProtection="1">
      <alignment horizontal="left" vertical="center"/>
      <protection locked="0" hidden="1"/>
    </xf>
    <xf numFmtId="0" fontId="17" fillId="9" borderId="35" xfId="19" applyFont="1" applyFill="1" applyBorder="1" applyAlignment="1" applyProtection="1">
      <alignment horizontal="left" vertical="center" wrapText="1"/>
      <protection hidden="1"/>
    </xf>
    <xf numFmtId="0" fontId="19" fillId="9" borderId="27" xfId="19" applyFont="1" applyFill="1" applyBorder="1" applyAlignment="1" applyProtection="1">
      <alignment horizontal="right" vertical="center"/>
      <protection hidden="1"/>
    </xf>
    <xf numFmtId="164" fontId="21" fillId="9" borderId="36" xfId="19" applyNumberFormat="1" applyFont="1" applyFill="1" applyBorder="1" applyAlignment="1" applyProtection="1">
      <alignment horizontal="center" vertical="center"/>
      <protection hidden="1"/>
    </xf>
    <xf numFmtId="0" fontId="23" fillId="9" borderId="37" xfId="19" applyFont="1" applyFill="1" applyBorder="1" applyAlignment="1" applyProtection="1">
      <alignment horizontal="center" vertical="center" wrapText="1"/>
      <protection hidden="1"/>
    </xf>
    <xf numFmtId="0" fontId="28" fillId="9" borderId="38" xfId="19" applyFont="1" applyFill="1" applyBorder="1" applyAlignment="1" applyProtection="1">
      <alignment horizontal="left" vertical="center" wrapText="1"/>
      <protection locked="0" hidden="1"/>
    </xf>
    <xf numFmtId="0" fontId="28" fillId="9" borderId="39" xfId="19" applyFont="1" applyFill="1" applyBorder="1" applyAlignment="1" applyProtection="1">
      <alignment horizontal="center" vertical="center" wrapText="1"/>
      <protection locked="0" hidden="1"/>
    </xf>
    <xf numFmtId="0" fontId="28" fillId="12" borderId="40" xfId="19" applyFont="1" applyFill="1" applyBorder="1" applyAlignment="1" applyProtection="1">
      <alignment vertical="center" wrapText="1"/>
      <protection hidden="1"/>
    </xf>
    <xf numFmtId="0" fontId="31" fillId="12" borderId="44" xfId="19" applyFont="1" applyFill="1" applyBorder="1" applyAlignment="1" applyProtection="1">
      <alignment horizontal="right" vertical="center" wrapText="1" shrinkToFit="1"/>
      <protection hidden="1"/>
    </xf>
    <xf numFmtId="0" fontId="19" fillId="9" borderId="27" xfId="19" applyFont="1" applyFill="1" applyBorder="1" applyAlignment="1" applyProtection="1">
      <alignment horizontal="center" vertical="center"/>
      <protection hidden="1"/>
    </xf>
    <xf numFmtId="0" fontId="17" fillId="9" borderId="45" xfId="19" applyFont="1" applyFill="1" applyBorder="1" applyAlignment="1" applyProtection="1">
      <alignment horizontal="center" vertical="center"/>
      <protection hidden="1"/>
    </xf>
    <xf numFmtId="0" fontId="13" fillId="9" borderId="15" xfId="19" applyFont="1" applyFill="1" applyBorder="1" applyAlignment="1" applyProtection="1">
      <alignment horizontal="center" vertical="center"/>
      <protection hidden="1"/>
    </xf>
    <xf numFmtId="0" fontId="28" fillId="12" borderId="38" xfId="19" applyFont="1" applyFill="1" applyBorder="1" applyAlignment="1" applyProtection="1">
      <alignment horizontal="left" vertical="center" wrapText="1"/>
      <protection hidden="1"/>
    </xf>
    <xf numFmtId="0" fontId="23" fillId="9" borderId="107" xfId="19" applyFont="1" applyFill="1" applyBorder="1" applyAlignment="1" applyProtection="1">
      <alignment horizontal="center" vertical="center" wrapText="1"/>
      <protection hidden="1"/>
    </xf>
    <xf numFmtId="0" fontId="23" fillId="9" borderId="108" xfId="19" applyFont="1" applyFill="1" applyBorder="1" applyAlignment="1" applyProtection="1">
      <alignment horizontal="center" vertical="center" wrapText="1"/>
      <protection hidden="1"/>
    </xf>
    <xf numFmtId="0" fontId="23" fillId="9" borderId="109" xfId="19" applyFont="1" applyFill="1" applyBorder="1" applyAlignment="1" applyProtection="1">
      <alignment horizontal="center" vertical="center" wrapText="1"/>
      <protection hidden="1"/>
    </xf>
    <xf numFmtId="0" fontId="28" fillId="12" borderId="47" xfId="19" applyFont="1" applyFill="1" applyBorder="1" applyAlignment="1" applyProtection="1">
      <alignment horizontal="left" vertical="center" wrapText="1"/>
      <protection hidden="1"/>
    </xf>
    <xf numFmtId="0" fontId="28" fillId="9" borderId="48" xfId="19" applyFont="1" applyFill="1" applyBorder="1" applyAlignment="1" applyProtection="1">
      <alignment horizontal="center" vertical="center" wrapText="1"/>
      <protection locked="0" hidden="1"/>
    </xf>
    <xf numFmtId="0" fontId="28" fillId="12" borderId="50" xfId="19" applyFont="1" applyFill="1" applyBorder="1" applyAlignment="1" applyProtection="1">
      <alignment horizontal="left" vertical="center" wrapText="1"/>
      <protection hidden="1"/>
    </xf>
    <xf numFmtId="0" fontId="28" fillId="9" borderId="51" xfId="19" applyFont="1" applyFill="1" applyBorder="1" applyAlignment="1" applyProtection="1">
      <alignment horizontal="center" vertical="center" wrapText="1"/>
      <protection locked="0" hidden="1"/>
    </xf>
    <xf numFmtId="164" fontId="21" fillId="9" borderId="54" xfId="19" applyNumberFormat="1" applyFont="1" applyFill="1" applyBorder="1" applyAlignment="1" applyProtection="1">
      <alignment horizontal="center" vertical="center"/>
      <protection hidden="1"/>
    </xf>
    <xf numFmtId="0" fontId="17" fillId="9" borderId="56" xfId="19" applyFont="1" applyFill="1" applyBorder="1" applyAlignment="1" applyProtection="1">
      <alignment horizontal="center" vertical="center"/>
      <protection hidden="1"/>
    </xf>
    <xf numFmtId="0" fontId="23" fillId="9" borderId="58" xfId="19" applyFont="1" applyFill="1" applyBorder="1" applyAlignment="1" applyProtection="1">
      <alignment horizontal="center" vertical="center" wrapText="1"/>
      <protection hidden="1"/>
    </xf>
    <xf numFmtId="0" fontId="28" fillId="12" borderId="104" xfId="19" applyFont="1" applyFill="1" applyBorder="1" applyAlignment="1" applyProtection="1">
      <alignment horizontal="left" vertical="center" wrapText="1"/>
      <protection hidden="1"/>
    </xf>
    <xf numFmtId="0" fontId="28" fillId="12" borderId="105" xfId="19" applyFont="1" applyFill="1" applyBorder="1" applyAlignment="1" applyProtection="1">
      <alignment horizontal="left" vertical="center" wrapText="1"/>
      <protection hidden="1"/>
    </xf>
    <xf numFmtId="0" fontId="28" fillId="12" borderId="106" xfId="19" applyFont="1" applyFill="1" applyBorder="1" applyAlignment="1" applyProtection="1">
      <alignment horizontal="left" vertical="center" wrapText="1"/>
      <protection hidden="1"/>
    </xf>
    <xf numFmtId="0" fontId="23" fillId="9" borderId="45" xfId="19" applyFont="1" applyFill="1" applyBorder="1" applyAlignment="1" applyProtection="1">
      <alignment horizontal="center" vertical="center" wrapText="1"/>
      <protection hidden="1"/>
    </xf>
    <xf numFmtId="0" fontId="17" fillId="9" borderId="64" xfId="19" applyFont="1" applyFill="1" applyBorder="1" applyAlignment="1" applyProtection="1">
      <alignment horizontal="left" vertical="center"/>
      <protection hidden="1"/>
    </xf>
    <xf numFmtId="0" fontId="27" fillId="9" borderId="65" xfId="19" applyFont="1" applyFill="1" applyBorder="1" applyAlignment="1" applyProtection="1">
      <alignment horizontal="left" vertical="center" wrapText="1"/>
      <protection hidden="1"/>
    </xf>
    <xf numFmtId="0" fontId="17" fillId="9" borderId="55" xfId="19" applyFont="1" applyFill="1" applyBorder="1" applyAlignment="1" applyProtection="1">
      <alignment horizontal="center" vertical="center" wrapText="1"/>
      <protection hidden="1"/>
    </xf>
    <xf numFmtId="0" fontId="17" fillId="9" borderId="33" xfId="19" applyFont="1" applyFill="1" applyBorder="1" applyAlignment="1" applyProtection="1">
      <alignment horizontal="center" vertical="center" wrapText="1"/>
      <protection hidden="1"/>
    </xf>
    <xf numFmtId="0" fontId="22" fillId="9" borderId="33" xfId="19" applyFont="1" applyFill="1" applyBorder="1" applyAlignment="1" applyProtection="1">
      <alignment horizontal="center" vertical="center" wrapText="1"/>
      <protection hidden="1"/>
    </xf>
    <xf numFmtId="49" fontId="22" fillId="9" borderId="66" xfId="19" applyNumberFormat="1" applyFont="1" applyFill="1" applyBorder="1" applyAlignment="1" applyProtection="1">
      <alignment horizontal="center" vertical="center" wrapText="1"/>
      <protection hidden="1"/>
    </xf>
    <xf numFmtId="0" fontId="17" fillId="9" borderId="67" xfId="19" applyFont="1" applyFill="1" applyBorder="1" applyAlignment="1" applyProtection="1">
      <alignment horizontal="center" vertical="center" wrapText="1"/>
      <protection hidden="1"/>
    </xf>
    <xf numFmtId="0" fontId="27" fillId="9" borderId="39" xfId="19" applyFont="1" applyFill="1" applyBorder="1" applyAlignment="1" applyProtection="1">
      <alignment horizontal="center" vertical="center" wrapText="1"/>
      <protection hidden="1"/>
    </xf>
    <xf numFmtId="0" fontId="35" fillId="9" borderId="48" xfId="19" applyFont="1" applyFill="1" applyBorder="1" applyAlignment="1" applyProtection="1">
      <alignment horizontal="center" vertical="center"/>
      <protection hidden="1"/>
    </xf>
    <xf numFmtId="0" fontId="27" fillId="9" borderId="48" xfId="19" applyFont="1" applyFill="1" applyBorder="1" applyAlignment="1" applyProtection="1">
      <alignment horizontal="center" vertical="center" wrapText="1"/>
      <protection hidden="1"/>
    </xf>
    <xf numFmtId="0" fontId="19" fillId="12" borderId="25" xfId="19" applyFont="1" applyFill="1" applyBorder="1" applyAlignment="1" applyProtection="1">
      <alignment horizontal="right" vertical="center"/>
      <protection hidden="1"/>
    </xf>
    <xf numFmtId="0" fontId="17" fillId="9" borderId="71" xfId="19" applyFont="1" applyFill="1" applyBorder="1" applyAlignment="1" applyProtection="1">
      <alignment horizontal="left" vertical="center"/>
      <protection hidden="1"/>
    </xf>
    <xf numFmtId="0" fontId="28" fillId="0" borderId="88" xfId="19" applyFont="1" applyBorder="1" applyAlignment="1" applyProtection="1">
      <alignment horizontal="center" vertical="center"/>
      <protection hidden="1"/>
    </xf>
    <xf numFmtId="0" fontId="20" fillId="9" borderId="78" xfId="19" applyFont="1" applyFill="1" applyBorder="1" applyAlignment="1" applyProtection="1">
      <alignment horizontal="center" vertical="center"/>
      <protection hidden="1"/>
    </xf>
    <xf numFmtId="166" fontId="20" fillId="0" borderId="80" xfId="19" applyNumberFormat="1" applyFont="1" applyBorder="1" applyAlignment="1" applyProtection="1">
      <alignment horizontal="center" vertical="center"/>
      <protection hidden="1"/>
    </xf>
    <xf numFmtId="0" fontId="19" fillId="9" borderId="82" xfId="19" applyFont="1" applyFill="1" applyBorder="1" applyAlignment="1" applyProtection="1">
      <alignment horizontal="center" vertical="center" wrapText="1"/>
      <protection hidden="1"/>
    </xf>
    <xf numFmtId="0" fontId="1" fillId="0" borderId="85"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0" fillId="0" borderId="85" xfId="0" applyBorder="1" applyAlignment="1" applyProtection="1">
      <alignment horizontal="center" vertical="center"/>
      <protection hidden="1"/>
    </xf>
    <xf numFmtId="0" fontId="36" fillId="0" borderId="85" xfId="0" applyFont="1" applyBorder="1" applyAlignment="1" applyProtection="1">
      <alignment horizontal="center" vertical="center"/>
      <protection hidden="1"/>
    </xf>
    <xf numFmtId="0" fontId="36" fillId="0" borderId="86" xfId="0" applyFont="1" applyBorder="1" applyAlignment="1" applyProtection="1">
      <alignment horizontal="center" vertical="center"/>
      <protection hidden="1"/>
    </xf>
    <xf numFmtId="0" fontId="30" fillId="12" borderId="38" xfId="19" applyFont="1" applyFill="1" applyBorder="1" applyAlignment="1" applyProtection="1">
      <alignment horizontal="left" vertical="center"/>
      <protection hidden="1"/>
    </xf>
    <xf numFmtId="0" fontId="30" fillId="12" borderId="47" xfId="19" applyFont="1" applyFill="1" applyBorder="1" applyAlignment="1" applyProtection="1">
      <alignment horizontal="left" vertical="center"/>
      <protection hidden="1"/>
    </xf>
    <xf numFmtId="0" fontId="30" fillId="12" borderId="73" xfId="19" applyFont="1" applyFill="1" applyBorder="1" applyAlignment="1" applyProtection="1">
      <alignment horizontal="left" vertical="center"/>
      <protection hidden="1"/>
    </xf>
    <xf numFmtId="0" fontId="31" fillId="9" borderId="75" xfId="19" applyFont="1" applyFill="1" applyBorder="1" applyAlignment="1" applyProtection="1">
      <alignment horizontal="center" vertical="center"/>
      <protection hidden="1"/>
    </xf>
    <xf numFmtId="0" fontId="31" fillId="9" borderId="76" xfId="19" applyFont="1" applyFill="1" applyBorder="1" applyAlignment="1" applyProtection="1">
      <alignment horizontal="center" vertical="center"/>
      <protection hidden="1"/>
    </xf>
    <xf numFmtId="0" fontId="17" fillId="9" borderId="77" xfId="19" applyFont="1" applyFill="1" applyBorder="1" applyAlignment="1" applyProtection="1">
      <alignment horizontal="center" vertical="center"/>
      <protection hidden="1"/>
    </xf>
    <xf numFmtId="0" fontId="37" fillId="0" borderId="89" xfId="0" applyFont="1" applyBorder="1" applyAlignment="1">
      <alignment horizontal="center" vertical="center" wrapText="1"/>
    </xf>
    <xf numFmtId="0" fontId="19" fillId="11" borderId="18" xfId="0" applyFont="1" applyFill="1" applyBorder="1" applyAlignment="1">
      <alignment horizontal="center" vertical="center" wrapText="1"/>
    </xf>
    <xf numFmtId="0" fontId="19" fillId="11" borderId="72" xfId="0" applyFont="1" applyFill="1" applyBorder="1" applyAlignment="1">
      <alignment horizontal="center" vertical="center" wrapText="1"/>
    </xf>
    <xf numFmtId="0" fontId="37" fillId="0" borderId="91" xfId="0" applyFont="1" applyBorder="1" applyAlignment="1" applyProtection="1">
      <alignment horizontal="center" vertical="center" wrapText="1"/>
      <protection locked="0"/>
    </xf>
    <xf numFmtId="0" fontId="19" fillId="11" borderId="92" xfId="0" applyFont="1" applyFill="1" applyBorder="1" applyAlignment="1" applyProtection="1">
      <alignment horizontal="center" vertical="center" wrapText="1"/>
      <protection hidden="1"/>
    </xf>
    <xf numFmtId="0" fontId="19" fillId="11" borderId="93" xfId="0" applyFont="1" applyFill="1" applyBorder="1" applyAlignment="1" applyProtection="1">
      <alignment horizontal="center" vertical="center" wrapText="1"/>
      <protection hidden="1"/>
    </xf>
    <xf numFmtId="0" fontId="40" fillId="0" borderId="97" xfId="0" applyFont="1" applyBorder="1" applyAlignment="1">
      <alignment horizontal="center" vertical="center" wrapText="1"/>
    </xf>
    <xf numFmtId="0" fontId="38" fillId="0" borderId="33" xfId="0" applyFont="1" applyBorder="1" applyAlignment="1">
      <alignment horizontal="center" vertical="center" wrapText="1"/>
    </xf>
    <xf numFmtId="0" fontId="39" fillId="0" borderId="33" xfId="0" applyFont="1" applyBorder="1" applyAlignment="1">
      <alignment horizontal="center" vertical="center" wrapText="1"/>
    </xf>
  </cellXfs>
  <cellStyles count="20">
    <cellStyle name="Accent 1 1" xfId="1" xr:uid="{00000000-0005-0000-0000-000006000000}"/>
    <cellStyle name="Accent 2 1" xfId="2" xr:uid="{00000000-0005-0000-0000-000007000000}"/>
    <cellStyle name="Accent 3 1" xfId="3" xr:uid="{00000000-0005-0000-0000-000008000000}"/>
    <cellStyle name="Accent 4" xfId="4" xr:uid="{00000000-0005-0000-0000-000009000000}"/>
    <cellStyle name="Bad 1" xfId="5" xr:uid="{00000000-0005-0000-0000-00000A000000}"/>
    <cellStyle name="Error 1" xfId="6" xr:uid="{00000000-0005-0000-0000-00000B000000}"/>
    <cellStyle name="Excel_BuiltIn_Texto explicativo" xfId="19" xr:uid="{00000000-0005-0000-0000-000018000000}"/>
    <cellStyle name="Footnote 1" xfId="7" xr:uid="{00000000-0005-0000-0000-00000C000000}"/>
    <cellStyle name="Good 1" xfId="8" xr:uid="{00000000-0005-0000-0000-00000D000000}"/>
    <cellStyle name="Heading 1 1" xfId="9" xr:uid="{00000000-0005-0000-0000-00000E000000}"/>
    <cellStyle name="Heading 2 1" xfId="10" xr:uid="{00000000-0005-0000-0000-00000F000000}"/>
    <cellStyle name="Hyperlink 1" xfId="11" xr:uid="{00000000-0005-0000-0000-000010000000}"/>
    <cellStyle name="Neutral 1" xfId="12" xr:uid="{00000000-0005-0000-0000-000011000000}"/>
    <cellStyle name="Normal" xfId="0" builtinId="0"/>
    <cellStyle name="Normal 2" xfId="18" xr:uid="{00000000-0005-0000-0000-000017000000}"/>
    <cellStyle name="Normal 3" xfId="13" xr:uid="{00000000-0005-0000-0000-000012000000}"/>
    <cellStyle name="Note 1" xfId="14" xr:uid="{00000000-0005-0000-0000-000013000000}"/>
    <cellStyle name="Status 1" xfId="15" xr:uid="{00000000-0005-0000-0000-000014000000}"/>
    <cellStyle name="Text 1" xfId="16" xr:uid="{00000000-0005-0000-0000-000015000000}"/>
    <cellStyle name="Warning 1" xfId="17" xr:uid="{00000000-0005-0000-0000-000016000000}"/>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DDDDDD"/>
      <rgbColor rgb="FF660066"/>
      <rgbColor rgb="FFFF8080"/>
      <rgbColor rgb="FF0066CC"/>
      <rgbColor rgb="FFCCCCCC"/>
      <rgbColor rgb="FF000080"/>
      <rgbColor rgb="FFFF00FF"/>
      <rgbColor rgb="FFFFF200"/>
      <rgbColor rgb="FF00FFFF"/>
      <rgbColor rgb="FF800080"/>
      <rgbColor rgb="FF800000"/>
      <rgbColor rgb="FF008080"/>
      <rgbColor rgb="FF0000FF"/>
      <rgbColor rgb="FF00CCFF"/>
      <rgbColor rgb="FFFFF3E6"/>
      <rgbColor rgb="FFCCFFCC"/>
      <rgbColor rgb="FFFFFFC0"/>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C3C3C"/>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435240</xdr:colOff>
      <xdr:row>74</xdr:row>
      <xdr:rowOff>73098</xdr:rowOff>
    </xdr:from>
    <xdr:to>
      <xdr:col>3</xdr:col>
      <xdr:colOff>369000</xdr:colOff>
      <xdr:row>74</xdr:row>
      <xdr:rowOff>73098</xdr:rowOff>
    </xdr:to>
    <xdr:sp macro="" textlink="">
      <xdr:nvSpPr>
        <xdr:cNvPr id="2" name="Línea 3">
          <a:extLst>
            <a:ext uri="{FF2B5EF4-FFF2-40B4-BE49-F238E27FC236}">
              <a16:creationId xmlns:a16="http://schemas.microsoft.com/office/drawing/2014/main" id="{00000000-0008-0000-0000-000002000000}"/>
            </a:ext>
          </a:extLst>
        </xdr:cNvPr>
        <xdr:cNvSpPr/>
      </xdr:nvSpPr>
      <xdr:spPr>
        <a:xfrm>
          <a:off x="435240" y="25857833"/>
          <a:ext cx="1793936" cy="0"/>
        </a:xfrm>
        <a:prstGeom prst="line">
          <a:avLst/>
        </a:prstGeom>
        <a:ln w="18000">
          <a:solidFill>
            <a:srgbClr val="3465A4"/>
          </a:solidFill>
          <a:round/>
        </a:ln>
      </xdr:spPr>
      <xdr:style>
        <a:lnRef idx="0">
          <a:scrgbClr r="0" g="0" b="0"/>
        </a:lnRef>
        <a:fillRef idx="0">
          <a:scrgbClr r="0" g="0" b="0"/>
        </a:fillRef>
        <a:effectRef idx="0">
          <a:scrgbClr r="0" g="0" b="0"/>
        </a:effectRef>
        <a:fontRef idx="minor"/>
      </xdr:style>
    </xdr:sp>
    <xdr:clientData/>
  </xdr:twoCellAnchor>
  <xdr:twoCellAnchor editAs="absolute">
    <xdr:from>
      <xdr:col>5</xdr:col>
      <xdr:colOff>729589</xdr:colOff>
      <xdr:row>74</xdr:row>
      <xdr:rowOff>56041</xdr:rowOff>
    </xdr:from>
    <xdr:to>
      <xdr:col>10</xdr:col>
      <xdr:colOff>157909</xdr:colOff>
      <xdr:row>74</xdr:row>
      <xdr:rowOff>56041</xdr:rowOff>
    </xdr:to>
    <xdr:sp macro="" textlink="">
      <xdr:nvSpPr>
        <xdr:cNvPr id="3" name="Línea 3">
          <a:extLst>
            <a:ext uri="{FF2B5EF4-FFF2-40B4-BE49-F238E27FC236}">
              <a16:creationId xmlns:a16="http://schemas.microsoft.com/office/drawing/2014/main" id="{00000000-0008-0000-0000-000003000000}"/>
            </a:ext>
          </a:extLst>
        </xdr:cNvPr>
        <xdr:cNvSpPr/>
      </xdr:nvSpPr>
      <xdr:spPr>
        <a:xfrm>
          <a:off x="4113765" y="25840776"/>
          <a:ext cx="1781556" cy="0"/>
        </a:xfrm>
        <a:prstGeom prst="line">
          <a:avLst/>
        </a:prstGeom>
        <a:ln w="18000">
          <a:solidFill>
            <a:srgbClr val="3465A4"/>
          </a:solidFill>
          <a:round/>
        </a:ln>
      </xdr:spPr>
      <xdr:style>
        <a:lnRef idx="0">
          <a:scrgbClr r="0" g="0" b="0"/>
        </a:lnRef>
        <a:fillRef idx="0">
          <a:scrgbClr r="0" g="0" b="0"/>
        </a:fillRef>
        <a:effectRef idx="0">
          <a:scrgbClr r="0" g="0" b="0"/>
        </a:effectRef>
        <a:fontRef idx="minor"/>
      </xdr:style>
    </xdr:sp>
    <xdr:clientData/>
  </xdr:twoCellAnchor>
  <xdr:twoCellAnchor editAs="oneCell">
    <xdr:from>
      <xdr:col>1</xdr:col>
      <xdr:colOff>38100</xdr:colOff>
      <xdr:row>0</xdr:row>
      <xdr:rowOff>1</xdr:rowOff>
    </xdr:from>
    <xdr:to>
      <xdr:col>2</xdr:col>
      <xdr:colOff>704850</xdr:colOff>
      <xdr:row>0</xdr:row>
      <xdr:rowOff>346823</xdr:rowOff>
    </xdr:to>
    <xdr:pic>
      <xdr:nvPicPr>
        <xdr:cNvPr id="6" name="Imagen 5">
          <a:extLst>
            <a:ext uri="{FF2B5EF4-FFF2-40B4-BE49-F238E27FC236}">
              <a16:creationId xmlns:a16="http://schemas.microsoft.com/office/drawing/2014/main" id="{26AD94D7-D30E-5BDA-AED9-19A9DB15F8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1"/>
          <a:ext cx="1666875" cy="3468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ome\asamblea\Escritorio\LILI%202017\EVALUACI&#211;N%20DEL%20DESEMPE&#209;O\2018\Formato%20Asignaci&#243;n%20de%20funcion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4"/>
      <sheetName val="Formato Asignación de funciones"/>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65177"/>
  <sheetViews>
    <sheetView showGridLines="0" tabSelected="1" view="pageBreakPreview" topLeftCell="B1" zoomScale="85" zoomScaleNormal="100" zoomScaleSheetLayoutView="85" workbookViewId="0">
      <selection activeCell="D11" sqref="D11:E11"/>
    </sheetView>
  </sheetViews>
  <sheetFormatPr baseColWidth="10" defaultColWidth="11.42578125" defaultRowHeight="12.75" x14ac:dyDescent="0.2"/>
  <cols>
    <col min="1" max="1" width="11.42578125" style="1" hidden="1"/>
    <col min="2" max="2" width="15" style="1" customWidth="1"/>
    <col min="3" max="3" width="12.85546875" style="1" customWidth="1"/>
    <col min="4" max="7" width="11.42578125" style="1"/>
    <col min="8" max="8" width="12.42578125" style="1" customWidth="1"/>
    <col min="9" max="9" width="8.85546875" style="1" hidden="1" customWidth="1"/>
    <col min="10" max="10" width="12.28515625" style="1" hidden="1" customWidth="1"/>
    <col min="11" max="11" width="13" style="1" customWidth="1"/>
    <col min="12" max="13" width="11.42578125" style="1" hidden="1" customWidth="1"/>
    <col min="14" max="14" width="8.7109375" style="2" hidden="1" customWidth="1"/>
    <col min="15" max="17" width="11.42578125" style="1" hidden="1" customWidth="1"/>
    <col min="18" max="18" width="12.42578125" style="1" hidden="1" customWidth="1"/>
    <col min="19" max="22" width="11.42578125" style="1" customWidth="1"/>
    <col min="23" max="257" width="11.42578125" style="1"/>
  </cols>
  <sheetData>
    <row r="1" spans="1:255" s="1" customFormat="1" ht="32.1" customHeight="1" x14ac:dyDescent="0.2">
      <c r="B1" s="142"/>
      <c r="C1" s="142"/>
      <c r="D1" s="143" t="s">
        <v>306</v>
      </c>
      <c r="E1" s="143"/>
      <c r="F1" s="143"/>
      <c r="G1" s="143"/>
      <c r="H1" s="143"/>
      <c r="I1" s="143"/>
      <c r="J1" s="143"/>
      <c r="K1" s="143"/>
    </row>
    <row r="2" spans="1:255" s="1" customFormat="1" ht="16.5" customHeight="1" x14ac:dyDescent="0.2">
      <c r="B2" s="144" t="s">
        <v>0</v>
      </c>
      <c r="C2" s="144" t="str">
        <f>IF(C4=0," ",VLOOKUP(C4,'[1]Formato Asignación de funciones'!B1:K416,3,0))</f>
        <v xml:space="preserve"> </v>
      </c>
      <c r="D2" s="145"/>
      <c r="E2" s="145"/>
      <c r="F2" s="145"/>
      <c r="G2" s="145"/>
      <c r="H2" s="145"/>
      <c r="I2" s="145"/>
      <c r="J2" s="145"/>
      <c r="K2" s="145"/>
    </row>
    <row r="3" spans="1:255" s="1" customFormat="1" ht="28.5" customHeight="1" x14ac:dyDescent="0.2">
      <c r="B3" s="144" t="s">
        <v>296</v>
      </c>
      <c r="C3" s="144" t="str">
        <f>IF(C4=0," ",VLOOKUP(C4,'[1]Formato Asignación de funciones'!B1:K416,2,0))</f>
        <v xml:space="preserve"> </v>
      </c>
      <c r="D3" s="146"/>
      <c r="E3" s="147"/>
      <c r="F3" s="153" t="s">
        <v>297</v>
      </c>
      <c r="G3" s="153"/>
      <c r="H3" s="148"/>
      <c r="I3" s="146"/>
      <c r="J3" s="146"/>
      <c r="K3" s="146"/>
    </row>
    <row r="4" spans="1:255" s="1" customFormat="1" ht="32.65" customHeight="1" x14ac:dyDescent="0.2">
      <c r="B4" s="144" t="s">
        <v>293</v>
      </c>
      <c r="C4" s="144"/>
      <c r="D4" s="149"/>
      <c r="E4" s="149"/>
      <c r="F4" s="153" t="s">
        <v>299</v>
      </c>
      <c r="G4" s="153"/>
      <c r="H4" s="150"/>
      <c r="I4" s="151"/>
      <c r="J4" s="151"/>
      <c r="K4" s="151"/>
    </row>
    <row r="5" spans="1:255" s="1" customFormat="1" ht="32.65" customHeight="1" x14ac:dyDescent="0.2">
      <c r="B5" s="144" t="s">
        <v>1</v>
      </c>
      <c r="C5" s="144"/>
      <c r="D5" s="152"/>
      <c r="E5" s="152"/>
      <c r="F5" s="153" t="s">
        <v>300</v>
      </c>
      <c r="G5" s="153"/>
      <c r="H5" s="150"/>
      <c r="I5" s="151"/>
      <c r="J5" s="151"/>
      <c r="K5" s="151"/>
    </row>
    <row r="6" spans="1:255" s="1" customFormat="1" ht="32.65" customHeight="1" thickBot="1" x14ac:dyDescent="0.25">
      <c r="B6" s="154" t="s">
        <v>295</v>
      </c>
      <c r="C6" s="154" t="str">
        <f>IF(C4=0," ",VLOOKUP(C4,'[1]Formato Asignación de funciones'!B1:K416,8,0))</f>
        <v xml:space="preserve"> </v>
      </c>
      <c r="D6" s="155">
        <v>45323</v>
      </c>
      <c r="E6" s="156"/>
      <c r="F6" s="160" t="s">
        <v>298</v>
      </c>
      <c r="G6" s="161"/>
      <c r="H6" s="155">
        <v>45657</v>
      </c>
      <c r="I6" s="157"/>
      <c r="J6" s="157"/>
      <c r="K6" s="158"/>
    </row>
    <row r="7" spans="1:255" s="5" customFormat="1" ht="12.95" customHeight="1" x14ac:dyDescent="0.2">
      <c r="A7" s="3"/>
      <c r="B7" s="159" t="s">
        <v>2</v>
      </c>
      <c r="C7" s="159"/>
      <c r="D7" s="159"/>
      <c r="E7" s="159"/>
      <c r="F7" s="159"/>
      <c r="G7" s="159"/>
      <c r="H7" s="159"/>
      <c r="I7" s="159"/>
      <c r="J7" s="159"/>
      <c r="K7" s="159"/>
      <c r="L7" s="4"/>
      <c r="N7" s="3"/>
      <c r="IA7" s="6"/>
      <c r="IB7" s="1"/>
      <c r="IC7" s="1"/>
      <c r="ID7" s="1"/>
      <c r="IE7" s="1"/>
      <c r="IF7" s="1"/>
      <c r="IG7" s="1"/>
      <c r="IH7" s="1"/>
      <c r="II7" s="1"/>
      <c r="IJ7" s="1"/>
      <c r="IK7" s="1"/>
      <c r="IL7" s="1"/>
      <c r="IM7" s="1"/>
      <c r="IN7" s="1"/>
      <c r="IO7" s="1"/>
      <c r="IP7" s="1"/>
      <c r="IQ7" s="1"/>
      <c r="IR7" s="1"/>
      <c r="IS7" s="1"/>
      <c r="IT7" s="1"/>
      <c r="IU7" s="1"/>
    </row>
    <row r="8" spans="1:255" s="5" customFormat="1" ht="12.95" customHeight="1" x14ac:dyDescent="0.2">
      <c r="A8" s="3"/>
      <c r="B8" s="7" t="s">
        <v>3</v>
      </c>
      <c r="C8" s="8"/>
      <c r="D8" s="8"/>
      <c r="E8" s="9" t="s">
        <v>4</v>
      </c>
      <c r="F8" s="10">
        <f>M9</f>
        <v>0</v>
      </c>
      <c r="G8" s="11" t="s">
        <v>5</v>
      </c>
      <c r="H8" s="12">
        <v>0.6</v>
      </c>
      <c r="I8" s="12"/>
      <c r="J8" s="162"/>
      <c r="K8" s="162"/>
      <c r="L8" s="4" t="s">
        <v>6</v>
      </c>
      <c r="M8" s="5" t="s">
        <v>7</v>
      </c>
      <c r="N8" s="3"/>
      <c r="IA8" s="6"/>
      <c r="IB8" s="1"/>
      <c r="IC8" s="1"/>
      <c r="ID8" s="1"/>
      <c r="IE8" s="1"/>
      <c r="IF8" s="1"/>
      <c r="IG8" s="1"/>
      <c r="IH8" s="1"/>
      <c r="II8" s="1"/>
      <c r="IJ8" s="1"/>
      <c r="IK8" s="1"/>
      <c r="IL8" s="1"/>
      <c r="IM8" s="1"/>
      <c r="IN8" s="1"/>
      <c r="IO8" s="1"/>
      <c r="IP8" s="1"/>
      <c r="IQ8" s="1"/>
      <c r="IR8" s="1"/>
      <c r="IS8" s="1"/>
      <c r="IT8" s="1"/>
      <c r="IU8" s="1"/>
    </row>
    <row r="9" spans="1:255" s="5" customFormat="1" ht="45.75" customHeight="1" thickBot="1" x14ac:dyDescent="0.25">
      <c r="A9" s="3"/>
      <c r="B9" s="163" t="s">
        <v>8</v>
      </c>
      <c r="C9" s="163"/>
      <c r="D9" s="164" t="s">
        <v>9</v>
      </c>
      <c r="E9" s="164"/>
      <c r="F9" s="14" t="s">
        <v>10</v>
      </c>
      <c r="G9" s="15" t="s">
        <v>11</v>
      </c>
      <c r="H9" s="15" t="s">
        <v>12</v>
      </c>
      <c r="I9" s="15"/>
      <c r="J9" s="165" t="s">
        <v>13</v>
      </c>
      <c r="K9" s="165"/>
      <c r="L9" s="16">
        <f>SUM(L10:L14)</f>
        <v>0</v>
      </c>
      <c r="M9" s="17">
        <f>SUM(M10:M14)</f>
        <v>0</v>
      </c>
      <c r="N9" s="3" t="s">
        <v>14</v>
      </c>
      <c r="O9" s="3" t="s">
        <v>15</v>
      </c>
      <c r="R9" s="18">
        <f>SUM(R10:R14)</f>
        <v>0</v>
      </c>
      <c r="IA9" s="6"/>
      <c r="IB9" s="1"/>
      <c r="IC9" s="1"/>
      <c r="ID9" s="1"/>
      <c r="IE9" s="1"/>
      <c r="IF9" s="1"/>
      <c r="IG9" s="1"/>
      <c r="IH9" s="1"/>
      <c r="II9" s="1"/>
      <c r="IJ9" s="1"/>
      <c r="IK9" s="1"/>
      <c r="IL9" s="1"/>
      <c r="IM9" s="1"/>
      <c r="IN9" s="1"/>
      <c r="IO9" s="1"/>
      <c r="IP9" s="1"/>
      <c r="IQ9" s="1"/>
      <c r="IR9" s="1"/>
      <c r="IS9" s="1"/>
      <c r="IT9" s="1"/>
      <c r="IU9" s="1"/>
    </row>
    <row r="10" spans="1:255" s="26" customFormat="1" ht="35.1" customHeight="1" x14ac:dyDescent="0.2">
      <c r="A10" s="19"/>
      <c r="B10" s="166"/>
      <c r="C10" s="166"/>
      <c r="D10" s="167"/>
      <c r="E10" s="167"/>
      <c r="F10" s="20"/>
      <c r="G10" s="21"/>
      <c r="H10" s="22" t="str">
        <f>IF(OR(G10&lt;0,G10="",F10=""),"",IF(AND(G10&gt;F10),100,(G10*100/F10)))</f>
        <v/>
      </c>
      <c r="I10" s="22"/>
      <c r="J10" s="23" t="str">
        <f>IF(OR(H10="",H10&lt;0),"",IF(H10&gt;=90.5,5,IF(AND(H10&gt;=80.5,H10&lt;=90.4),4,IF(AND(H10&gt;=70.5,H10&lt;=80.4),3,IF(AND(H10&gt;=60.5,H10&lt;=70.4),2,IF(H10&lt;=60.4,1,""))))))</f>
        <v/>
      </c>
      <c r="K10" s="24" t="str">
        <f>IF(OR(H10="",H10&lt;0),"",IF(H10&gt;=90.5,5,IF(AND(H10&gt;=80.5,H10&lt;=90.4),4,IF(AND(H10&gt;=70.5,H10&lt;=80.4),3,IF(AND(H10&gt;=60.5,H10&lt;=70.4),2,IF(H10&lt;=60.4,1,""))))))</f>
        <v/>
      </c>
      <c r="L10" s="25">
        <f>IF(J10&lt;&gt;"",IF(J10=5,60,IF(J10=4,45,IF(J10=3,30,IF(J10=2,15,IF(J10=1,0,""))))),0)</f>
        <v>0</v>
      </c>
      <c r="M10" s="26">
        <f>IF(AND(B10&lt;&gt;"",D10&lt;&gt;"",F10&lt;&gt;""),1,0)</f>
        <v>0</v>
      </c>
      <c r="N10" s="26">
        <f>IF(AND(F10&lt;&gt;"",G10&lt;&gt;""),1,0)</f>
        <v>0</v>
      </c>
      <c r="O10" s="26">
        <f>IF(AND(G10&gt;=F10,N10=1),1,0)</f>
        <v>0</v>
      </c>
      <c r="P10" s="26">
        <v>0</v>
      </c>
      <c r="Q10" s="26" t="str">
        <f>IF(OR(G10&lt;0,G10="",F10=""),"",IF(AND(G10&gt;F10),1,0))</f>
        <v/>
      </c>
      <c r="R10" s="26">
        <f>IF(L10=0,0,(L10/M9))</f>
        <v>0</v>
      </c>
      <c r="IA10" s="27"/>
      <c r="IB10" s="1"/>
      <c r="IC10" s="1"/>
      <c r="ID10" s="1"/>
      <c r="IE10" s="1"/>
      <c r="IF10" s="1"/>
      <c r="IG10" s="1"/>
      <c r="IH10" s="1"/>
      <c r="II10" s="1"/>
      <c r="IJ10" s="1"/>
      <c r="IK10" s="1"/>
      <c r="IL10" s="1"/>
      <c r="IM10" s="1"/>
      <c r="IN10" s="1"/>
      <c r="IO10" s="1"/>
      <c r="IP10" s="1"/>
      <c r="IQ10" s="1"/>
      <c r="IR10" s="1"/>
      <c r="IS10" s="1"/>
      <c r="IT10" s="1"/>
      <c r="IU10" s="1"/>
    </row>
    <row r="11" spans="1:255" s="26" customFormat="1" ht="35.1" customHeight="1" x14ac:dyDescent="0.2">
      <c r="A11" s="19"/>
      <c r="B11" s="168"/>
      <c r="C11" s="168"/>
      <c r="D11" s="169"/>
      <c r="E11" s="169"/>
      <c r="F11" s="28"/>
      <c r="G11" s="28"/>
      <c r="H11" s="22" t="str">
        <f t="shared" ref="H11:H14" si="0">IF(OR(G11&lt;0,G11="",F11=""),"",IF(AND(G11&gt;F11),100,(G11*100/F11)))</f>
        <v/>
      </c>
      <c r="I11" s="22"/>
      <c r="J11" s="23" t="str">
        <f t="shared" ref="J11:J14" si="1">IF(OR(H11="",H11&lt;0),"",IF(H11&gt;=90.5,5,IF(AND(H11&gt;=80.5,H11&lt;=90.4),4,IF(AND(H11&gt;=70.5,H11&lt;=80.4),3,IF(AND(H11&gt;=60.5,H11&lt;=70.4),2,IF(H11&lt;=60.4,1,""))))))</f>
        <v/>
      </c>
      <c r="K11" s="24" t="str">
        <f>IF(OR(H11="",H11&lt;0),"",IF(H11&gt;=90.5,5,IF(AND(H11&gt;=80.5,H11&lt;=90.4),4,IF(AND(H11&gt;=70.5,H11&lt;=80.4),3,IF(AND(H11&gt;=60.5,H11&lt;=70.4),2,IF(H11&lt;=60.4,1,""))))))</f>
        <v/>
      </c>
      <c r="L11" s="25">
        <f>IF(J11&lt;&gt;"",IF(J11=5,60,IF(J11=4,45,IF(J11=3,30,IF(J11=2,15,IF(J11=1,0,""))))),0)</f>
        <v>0</v>
      </c>
      <c r="M11" s="26">
        <f>IF(AND(B11&lt;&gt;"",D11&lt;&gt;"",F11&lt;&gt;""),1,0)</f>
        <v>0</v>
      </c>
      <c r="N11" s="26">
        <f>IF(AND(F11&lt;&gt;"",G11&lt;&gt;""),1,0)</f>
        <v>0</v>
      </c>
      <c r="O11" s="26">
        <f>IF(AND(G11&gt;=F11,N11=1),1,0)</f>
        <v>0</v>
      </c>
      <c r="P11" s="26">
        <v>0</v>
      </c>
      <c r="Q11" s="26" t="str">
        <f>IF(OR(G11&lt;0,G11="",F11=""),"",IF(AND(G11&gt;F11),1,0))</f>
        <v/>
      </c>
      <c r="R11" s="26">
        <f>IF(L11=0,0,(L11/M9))</f>
        <v>0</v>
      </c>
      <c r="IB11" s="1"/>
      <c r="IC11" s="1"/>
      <c r="ID11" s="1"/>
      <c r="IE11" s="1"/>
      <c r="IF11" s="1"/>
      <c r="IG11" s="1"/>
      <c r="IH11" s="1"/>
      <c r="II11" s="1"/>
      <c r="IJ11" s="1"/>
      <c r="IK11" s="1"/>
      <c r="IL11" s="1"/>
      <c r="IM11" s="1"/>
      <c r="IN11" s="1"/>
      <c r="IO11" s="1"/>
      <c r="IP11" s="1"/>
      <c r="IQ11" s="1"/>
      <c r="IR11" s="1"/>
      <c r="IS11" s="1"/>
      <c r="IT11" s="1"/>
      <c r="IU11" s="1"/>
    </row>
    <row r="12" spans="1:255" s="26" customFormat="1" ht="35.1" customHeight="1" x14ac:dyDescent="0.2">
      <c r="A12" s="19"/>
      <c r="B12" s="168"/>
      <c r="C12" s="168"/>
      <c r="D12" s="169"/>
      <c r="E12" s="169"/>
      <c r="F12" s="141"/>
      <c r="G12" s="28"/>
      <c r="H12" s="22" t="str">
        <f t="shared" si="0"/>
        <v/>
      </c>
      <c r="I12" s="22"/>
      <c r="J12" s="23" t="str">
        <f t="shared" si="1"/>
        <v/>
      </c>
      <c r="K12" s="24" t="str">
        <f>IF(OR(H12="",H12&lt;0),"",IF(H12&gt;=90.5,5,IF(AND(H12&gt;=80.5,H12&lt;=90.4),4,IF(AND(H12&gt;=70.5,H12&lt;=80.4),3,IF(AND(H12&gt;=60.5,H12&lt;=70.4),2,IF(H12&lt;=60.4,1,""))))))</f>
        <v/>
      </c>
      <c r="L12" s="25">
        <f>IF(J12&lt;&gt;"",IF(J12=5,60,IF(J12=4,45,IF(J12=3,30,IF(J12=2,15,IF(J12=1,0,""))))),0)</f>
        <v>0</v>
      </c>
      <c r="M12" s="26">
        <f>IF(AND(B12&lt;&gt;"",D12&lt;&gt;"",F12&lt;&gt;""),1,0)</f>
        <v>0</v>
      </c>
      <c r="N12" s="26">
        <f>IF(AND(F12&lt;&gt;"",G12&lt;&gt;""),1,0)</f>
        <v>0</v>
      </c>
      <c r="O12" s="26">
        <f>IF(AND(G12&gt;=F12,N12=1),1,0)</f>
        <v>0</v>
      </c>
      <c r="P12" s="26">
        <v>0</v>
      </c>
      <c r="Q12" s="26" t="str">
        <f>IF(OR(G12&lt;0,G12="",F12=""),"",IF(AND(G12&gt;F12),1,0))</f>
        <v/>
      </c>
      <c r="R12" s="26">
        <f>IF(L12=0,0,(L12/M9))</f>
        <v>0</v>
      </c>
      <c r="IB12" s="1"/>
      <c r="IC12" s="1"/>
      <c r="ID12" s="1"/>
      <c r="IE12" s="1"/>
      <c r="IF12" s="1"/>
      <c r="IG12" s="1"/>
      <c r="IH12" s="1"/>
      <c r="II12" s="1"/>
      <c r="IJ12" s="1"/>
      <c r="IK12" s="1"/>
      <c r="IL12" s="1"/>
      <c r="IM12" s="1"/>
      <c r="IN12" s="1"/>
      <c r="IO12" s="1"/>
      <c r="IP12" s="1"/>
      <c r="IQ12" s="1"/>
      <c r="IR12" s="1"/>
      <c r="IS12" s="1"/>
      <c r="IT12" s="1"/>
      <c r="IU12" s="1"/>
    </row>
    <row r="13" spans="1:255" s="26" customFormat="1" ht="35.1" customHeight="1" x14ac:dyDescent="0.2">
      <c r="A13" s="19"/>
      <c r="B13" s="168"/>
      <c r="C13" s="168"/>
      <c r="D13" s="169"/>
      <c r="E13" s="169"/>
      <c r="F13" s="141"/>
      <c r="G13" s="28"/>
      <c r="H13" s="22" t="str">
        <f t="shared" si="0"/>
        <v/>
      </c>
      <c r="I13" s="22"/>
      <c r="J13" s="23" t="str">
        <f t="shared" si="1"/>
        <v/>
      </c>
      <c r="K13" s="24" t="str">
        <f>IF(OR(H13="",H13&lt;0),"",IF(H13&gt;=90.5,5,IF(AND(H13&gt;=80.5,H13&lt;=90.4),4,IF(AND(H13&gt;=70.5,H13&lt;=80.4),3,IF(AND(H13&gt;=60.5,H13&lt;=70.4),2,IF(H13&lt;=60.4,1,""))))))</f>
        <v/>
      </c>
      <c r="L13" s="25">
        <f>IF(J13&lt;&gt;"",IF(J13=5,60,IF(J13=4,45,IF(J13=3,30,IF(J13=2,15,IF(J13=1,0,""))))),0)</f>
        <v>0</v>
      </c>
      <c r="M13" s="26">
        <f>IF(AND(B13&lt;&gt;"",D13&lt;&gt;"",F13&lt;&gt;""),1,0)</f>
        <v>0</v>
      </c>
      <c r="N13" s="26">
        <f>IF(AND(F13&lt;&gt;"",G13&lt;&gt;""),1,0)</f>
        <v>0</v>
      </c>
      <c r="O13" s="26">
        <f>IF(AND(G13&gt;=F13,N13=1),1,0)</f>
        <v>0</v>
      </c>
      <c r="P13" s="26">
        <v>0</v>
      </c>
      <c r="Q13" s="26" t="str">
        <f>IF(OR(G13&lt;0,G13="",F13=""),"",IF(AND(G13&gt;F13),1,0))</f>
        <v/>
      </c>
      <c r="R13" s="26">
        <f>IF(L13=0,0,(L13/M9))</f>
        <v>0</v>
      </c>
      <c r="IB13" s="1"/>
      <c r="IC13" s="1"/>
      <c r="ID13" s="1"/>
      <c r="IE13" s="1"/>
      <c r="IF13" s="1"/>
      <c r="IG13" s="1"/>
      <c r="IH13" s="1"/>
      <c r="II13" s="1"/>
      <c r="IJ13" s="1"/>
      <c r="IK13" s="1"/>
      <c r="IL13" s="1"/>
      <c r="IM13" s="1"/>
      <c r="IN13" s="1"/>
      <c r="IO13" s="1"/>
      <c r="IP13" s="1"/>
      <c r="IQ13" s="1"/>
      <c r="IR13" s="1"/>
      <c r="IS13" s="1"/>
      <c r="IT13" s="1"/>
      <c r="IU13" s="1"/>
    </row>
    <row r="14" spans="1:255" s="26" customFormat="1" ht="35.1" customHeight="1" thickBot="1" x14ac:dyDescent="0.25">
      <c r="A14" s="19"/>
      <c r="B14" s="168"/>
      <c r="C14" s="168"/>
      <c r="D14" s="169"/>
      <c r="E14" s="169"/>
      <c r="F14" s="141"/>
      <c r="G14" s="28"/>
      <c r="H14" s="22" t="str">
        <f t="shared" si="0"/>
        <v/>
      </c>
      <c r="I14" s="22"/>
      <c r="J14" s="23" t="str">
        <f t="shared" si="1"/>
        <v/>
      </c>
      <c r="K14" s="24" t="str">
        <f>IF(OR(H14="",H14&lt;0),"",IF(H14&gt;=90.5,5,IF(AND(H14&gt;=80.5,H14&lt;=90.4),4,IF(AND(H14&gt;=70.5,H14&lt;=80.4),3,IF(AND(H14&gt;=60.5,H14&lt;=70.4),2,IF(H14&lt;=60.4,1,""))))))</f>
        <v/>
      </c>
      <c r="L14" s="29">
        <f>IF(J14&lt;&gt;"",IF(J14=5,60,IF(J14=4,45,IF(J14=3,30,IF(J14=2,15,IF(J14=1,0,""))))),0)</f>
        <v>0</v>
      </c>
      <c r="M14" s="26">
        <f>IF(AND(B14&lt;&gt;"",D14&lt;&gt;"",F14&lt;&gt;""),1,0)</f>
        <v>0</v>
      </c>
      <c r="N14" s="26">
        <f>IF(AND(F14&lt;&gt;"",G14&lt;&gt;""),1,0)</f>
        <v>0</v>
      </c>
      <c r="O14" s="26">
        <f>IF(AND(G14&gt;=F14,N14=1),1,0)</f>
        <v>0</v>
      </c>
      <c r="P14" s="26">
        <v>0</v>
      </c>
      <c r="Q14" s="26" t="str">
        <f>IF(OR(G14&lt;0,G14="",F14=""),"",IF(AND(G14&gt;F14),1,0))</f>
        <v/>
      </c>
      <c r="R14" s="26">
        <f>IF(L14=0,0,(L14/M9))</f>
        <v>0</v>
      </c>
      <c r="IB14" s="1"/>
      <c r="IC14" s="1"/>
      <c r="ID14" s="1"/>
      <c r="IE14" s="1"/>
      <c r="IF14" s="1"/>
      <c r="IG14" s="1"/>
      <c r="IH14" s="1"/>
      <c r="II14" s="1"/>
      <c r="IJ14" s="1"/>
      <c r="IK14" s="1"/>
      <c r="IL14" s="1"/>
      <c r="IM14" s="1"/>
      <c r="IN14" s="1"/>
      <c r="IO14" s="1"/>
      <c r="IP14" s="1"/>
      <c r="IQ14" s="1"/>
      <c r="IR14" s="1"/>
      <c r="IS14" s="1"/>
      <c r="IT14" s="1"/>
      <c r="IU14" s="1"/>
    </row>
    <row r="15" spans="1:255" s="30" customFormat="1" ht="15.75" customHeight="1" thickBot="1" x14ac:dyDescent="0.25">
      <c r="A15" s="19"/>
      <c r="B15" s="170" t="s">
        <v>17</v>
      </c>
      <c r="C15" s="170"/>
      <c r="D15" s="170"/>
      <c r="E15" s="170"/>
      <c r="F15" s="170"/>
      <c r="G15" s="170"/>
      <c r="H15" s="170"/>
      <c r="I15" s="33"/>
      <c r="J15" s="171" t="str">
        <f>CONCATENATE(ROUND(R9,1),"%")</f>
        <v>0%</v>
      </c>
      <c r="K15" s="171"/>
      <c r="L15" s="34"/>
      <c r="M15" s="26"/>
      <c r="N15" s="31"/>
      <c r="IB15" s="1"/>
      <c r="IC15" s="1"/>
      <c r="ID15" s="1"/>
      <c r="IE15" s="1"/>
      <c r="IF15" s="1"/>
      <c r="IG15" s="1"/>
      <c r="IH15" s="1"/>
      <c r="II15" s="1"/>
      <c r="IJ15" s="1"/>
      <c r="IK15" s="1"/>
      <c r="IL15" s="1"/>
      <c r="IM15" s="1"/>
      <c r="IN15" s="1"/>
      <c r="IO15" s="1"/>
      <c r="IP15" s="1"/>
      <c r="IQ15" s="1"/>
      <c r="IR15" s="1"/>
      <c r="IS15" s="1"/>
      <c r="IT15" s="1"/>
      <c r="IU15" s="1"/>
    </row>
    <row r="16" spans="1:255" s="30" customFormat="1" ht="23.25" customHeight="1" thickBot="1" x14ac:dyDescent="0.25">
      <c r="A16" s="3"/>
      <c r="B16" s="35" t="s">
        <v>18</v>
      </c>
      <c r="C16" s="172" t="s">
        <v>19</v>
      </c>
      <c r="D16" s="172"/>
      <c r="E16" s="36">
        <f>M16</f>
        <v>0</v>
      </c>
      <c r="F16" s="37" t="s">
        <v>20</v>
      </c>
      <c r="G16" s="38">
        <v>0.08</v>
      </c>
      <c r="H16" s="39" t="s">
        <v>21</v>
      </c>
      <c r="I16" s="39"/>
      <c r="J16" s="39"/>
      <c r="K16" s="40" t="s">
        <v>22</v>
      </c>
      <c r="L16" s="16">
        <f>SUM(L17:L22)</f>
        <v>0</v>
      </c>
      <c r="M16" s="5">
        <f>SUM(M17:M22)</f>
        <v>0</v>
      </c>
      <c r="N16" s="41">
        <f>SUM(N17:N22)</f>
        <v>0</v>
      </c>
      <c r="IB16" s="1"/>
      <c r="IC16" s="1"/>
      <c r="ID16" s="1"/>
      <c r="IE16" s="1"/>
      <c r="IF16" s="1"/>
      <c r="IG16" s="1"/>
      <c r="IH16" s="1"/>
      <c r="II16" s="1"/>
      <c r="IJ16" s="1"/>
      <c r="IK16" s="1"/>
      <c r="IL16" s="1"/>
      <c r="IM16" s="1"/>
      <c r="IN16" s="1"/>
      <c r="IO16" s="1"/>
      <c r="IP16" s="1"/>
      <c r="IQ16" s="1"/>
      <c r="IR16" s="1"/>
      <c r="IS16" s="1"/>
      <c r="IT16" s="1"/>
      <c r="IU16" s="1"/>
    </row>
    <row r="17" spans="1:255" s="30" customFormat="1" ht="35.1" customHeight="1" x14ac:dyDescent="0.2">
      <c r="A17" s="19"/>
      <c r="B17" s="173"/>
      <c r="C17" s="173"/>
      <c r="D17" s="173"/>
      <c r="E17" s="173"/>
      <c r="F17" s="173"/>
      <c r="G17" s="173"/>
      <c r="H17" s="42"/>
      <c r="I17" s="43" t="str">
        <f t="shared" ref="I17:I22" si="2">IF(B17="","",IF(H17="Sobresaliente",5,IF(H17="Muy Bueno",4,IF(H17="Bueno",3,IF(H17="Regular",2,IF(H17="Insuficiente",1,""))))))</f>
        <v/>
      </c>
      <c r="J17" s="44" t="str">
        <f t="shared" ref="J17:J22" si="3">IF(B17="","",IF(K17="Sobresaliente",5,IF(K17="Muy Bueno",4,IF(K17="Bueno",3,IF(K17="Regular",2,IF(K17="Insuficiente",1,""))))))</f>
        <v/>
      </c>
      <c r="K17" s="45"/>
      <c r="L17" s="25">
        <f t="shared" ref="L17:L22" si="4">IF(J17&lt;&gt;"",IF(J17=1,0,IF(J17=1,0,IF(I17&lt;=J17,8,IF(I17-J17=1,6,IF(I17-J17=2,4,IF(I17-J17=3,2,0)))))),0)</f>
        <v>0</v>
      </c>
      <c r="M17" s="26">
        <f t="shared" ref="M17:M22" si="5">IF(B17&lt;&gt;"",1,0)</f>
        <v>0</v>
      </c>
      <c r="N17" s="46">
        <f>IF(L17=0,0,(L17/M16))</f>
        <v>0</v>
      </c>
      <c r="IB17" s="1"/>
      <c r="IC17" s="1"/>
      <c r="ID17" s="1"/>
      <c r="IE17" s="1"/>
      <c r="IF17" s="1"/>
      <c r="IG17" s="1"/>
      <c r="IH17" s="1"/>
      <c r="II17" s="1"/>
      <c r="IJ17" s="1"/>
      <c r="IK17" s="1"/>
      <c r="IL17" s="1"/>
      <c r="IM17" s="1"/>
      <c r="IN17" s="1"/>
      <c r="IO17" s="1"/>
      <c r="IP17" s="1"/>
      <c r="IQ17" s="1"/>
      <c r="IR17" s="1"/>
      <c r="IS17" s="1"/>
      <c r="IT17" s="1"/>
      <c r="IU17" s="1"/>
    </row>
    <row r="18" spans="1:255" s="30" customFormat="1" ht="35.1" customHeight="1" x14ac:dyDescent="0.2">
      <c r="A18" s="19"/>
      <c r="B18" s="174"/>
      <c r="C18" s="174"/>
      <c r="D18" s="174"/>
      <c r="E18" s="174"/>
      <c r="F18" s="174"/>
      <c r="G18" s="174"/>
      <c r="H18" s="42"/>
      <c r="I18" s="43" t="str">
        <f t="shared" si="2"/>
        <v/>
      </c>
      <c r="J18" s="44" t="str">
        <f t="shared" si="3"/>
        <v/>
      </c>
      <c r="K18" s="45"/>
      <c r="L18" s="25">
        <f t="shared" si="4"/>
        <v>0</v>
      </c>
      <c r="M18" s="26">
        <f t="shared" si="5"/>
        <v>0</v>
      </c>
      <c r="N18" s="46">
        <f>IF(L18=0,0,(L18/M16))</f>
        <v>0</v>
      </c>
      <c r="IB18" s="1"/>
      <c r="IC18" s="1"/>
      <c r="ID18" s="1"/>
      <c r="IE18" s="1"/>
      <c r="IF18" s="1"/>
      <c r="IG18" s="1"/>
      <c r="IH18" s="1"/>
      <c r="II18" s="1"/>
      <c r="IJ18" s="1"/>
      <c r="IK18" s="1"/>
      <c r="IL18" s="1"/>
      <c r="IM18" s="1"/>
      <c r="IN18" s="1"/>
      <c r="IO18" s="1"/>
      <c r="IP18" s="1"/>
      <c r="IQ18" s="1"/>
      <c r="IR18" s="1"/>
      <c r="IS18" s="1"/>
      <c r="IT18" s="1"/>
      <c r="IU18" s="1"/>
    </row>
    <row r="19" spans="1:255" s="30" customFormat="1" ht="35.1" customHeight="1" x14ac:dyDescent="0.2">
      <c r="A19" s="19"/>
      <c r="B19" s="174"/>
      <c r="C19" s="174"/>
      <c r="D19" s="174"/>
      <c r="E19" s="174"/>
      <c r="F19" s="174"/>
      <c r="G19" s="174"/>
      <c r="H19" s="42"/>
      <c r="I19" s="43" t="str">
        <f t="shared" si="2"/>
        <v/>
      </c>
      <c r="J19" s="44" t="str">
        <f t="shared" si="3"/>
        <v/>
      </c>
      <c r="K19" s="45"/>
      <c r="L19" s="25">
        <f t="shared" si="4"/>
        <v>0</v>
      </c>
      <c r="M19" s="26">
        <f t="shared" si="5"/>
        <v>0</v>
      </c>
      <c r="N19" s="46">
        <f>IF(L19=0,0,(L19/M16))</f>
        <v>0</v>
      </c>
      <c r="IB19" s="1"/>
      <c r="IC19" s="1"/>
      <c r="ID19" s="1"/>
      <c r="IE19" s="1"/>
      <c r="IF19" s="1"/>
      <c r="IG19" s="1"/>
      <c r="IH19" s="1"/>
      <c r="II19" s="1"/>
      <c r="IJ19" s="1"/>
      <c r="IK19" s="1"/>
      <c r="IL19" s="1"/>
      <c r="IM19" s="1"/>
      <c r="IN19" s="1"/>
      <c r="IO19" s="1"/>
      <c r="IP19" s="1"/>
      <c r="IQ19" s="1"/>
      <c r="IR19" s="1"/>
      <c r="IS19" s="1"/>
      <c r="IT19" s="1"/>
      <c r="IU19" s="1"/>
    </row>
    <row r="20" spans="1:255" s="30" customFormat="1" ht="35.1" customHeight="1" x14ac:dyDescent="0.2">
      <c r="A20" s="19"/>
      <c r="B20" s="174"/>
      <c r="C20" s="174"/>
      <c r="D20" s="174"/>
      <c r="E20" s="174"/>
      <c r="F20" s="174"/>
      <c r="G20" s="174"/>
      <c r="H20" s="42"/>
      <c r="I20" s="43" t="str">
        <f t="shared" si="2"/>
        <v/>
      </c>
      <c r="J20" s="44" t="str">
        <f t="shared" si="3"/>
        <v/>
      </c>
      <c r="K20" s="45"/>
      <c r="L20" s="25">
        <f t="shared" si="4"/>
        <v>0</v>
      </c>
      <c r="M20" s="26">
        <f t="shared" si="5"/>
        <v>0</v>
      </c>
      <c r="N20" s="46">
        <f>IF(L20=0,0,(L20/M16))</f>
        <v>0</v>
      </c>
      <c r="IB20" s="1"/>
      <c r="IC20" s="1"/>
      <c r="ID20" s="1"/>
      <c r="IE20" s="1"/>
      <c r="IF20" s="1"/>
      <c r="IG20" s="1"/>
      <c r="IH20" s="1"/>
      <c r="II20" s="1"/>
      <c r="IJ20" s="1"/>
      <c r="IK20" s="1"/>
      <c r="IL20" s="1"/>
      <c r="IM20" s="1"/>
      <c r="IN20" s="1"/>
      <c r="IO20" s="1"/>
      <c r="IP20" s="1"/>
      <c r="IQ20" s="1"/>
      <c r="IR20" s="1"/>
      <c r="IS20" s="1"/>
      <c r="IT20" s="1"/>
      <c r="IU20" s="1"/>
    </row>
    <row r="21" spans="1:255" s="30" customFormat="1" ht="35.1" customHeight="1" x14ac:dyDescent="0.2">
      <c r="A21" s="19"/>
      <c r="B21" s="174"/>
      <c r="C21" s="174"/>
      <c r="D21" s="174"/>
      <c r="E21" s="174"/>
      <c r="F21" s="174"/>
      <c r="G21" s="174"/>
      <c r="H21" s="42"/>
      <c r="I21" s="43" t="str">
        <f t="shared" si="2"/>
        <v/>
      </c>
      <c r="J21" s="44" t="str">
        <f t="shared" si="3"/>
        <v/>
      </c>
      <c r="K21" s="45"/>
      <c r="L21" s="25">
        <f t="shared" si="4"/>
        <v>0</v>
      </c>
      <c r="M21" s="26">
        <f t="shared" si="5"/>
        <v>0</v>
      </c>
      <c r="N21" s="46">
        <f>IF(L21=0,0,(L21/M16))</f>
        <v>0</v>
      </c>
      <c r="IB21" s="1"/>
      <c r="IC21" s="1"/>
      <c r="ID21" s="1"/>
      <c r="IE21" s="1"/>
      <c r="IF21" s="1"/>
      <c r="IG21" s="1"/>
      <c r="IH21" s="1"/>
      <c r="II21" s="1"/>
      <c r="IJ21" s="1"/>
      <c r="IK21" s="1"/>
      <c r="IL21" s="1"/>
      <c r="IM21" s="1"/>
      <c r="IN21" s="1"/>
      <c r="IO21" s="1"/>
      <c r="IP21" s="1"/>
      <c r="IQ21" s="1"/>
      <c r="IR21" s="1"/>
      <c r="IS21" s="1"/>
      <c r="IT21" s="1"/>
      <c r="IU21" s="1"/>
    </row>
    <row r="22" spans="1:255" s="30" customFormat="1" ht="35.1" customHeight="1" thickBot="1" x14ac:dyDescent="0.25">
      <c r="A22" s="19"/>
      <c r="B22" s="174"/>
      <c r="C22" s="174"/>
      <c r="D22" s="174"/>
      <c r="E22" s="174"/>
      <c r="F22" s="174"/>
      <c r="G22" s="174"/>
      <c r="H22" s="42"/>
      <c r="I22" s="43" t="str">
        <f t="shared" si="2"/>
        <v/>
      </c>
      <c r="J22" s="44" t="str">
        <f t="shared" si="3"/>
        <v/>
      </c>
      <c r="K22" s="45"/>
      <c r="L22" s="25">
        <f t="shared" si="4"/>
        <v>0</v>
      </c>
      <c r="M22" s="26">
        <f t="shared" si="5"/>
        <v>0</v>
      </c>
      <c r="N22" s="46">
        <f>IF(L22=0,0,(L22/M16))</f>
        <v>0</v>
      </c>
      <c r="IB22" s="1"/>
      <c r="IC22" s="1"/>
      <c r="ID22" s="1"/>
      <c r="IE22" s="1"/>
      <c r="IF22" s="1"/>
      <c r="IG22" s="1"/>
      <c r="IH22" s="1"/>
      <c r="II22" s="1"/>
      <c r="IJ22" s="1"/>
      <c r="IK22" s="1"/>
      <c r="IL22" s="1"/>
      <c r="IM22" s="1"/>
      <c r="IN22" s="1"/>
      <c r="IO22" s="1"/>
      <c r="IP22" s="1"/>
      <c r="IQ22" s="1"/>
      <c r="IR22" s="1"/>
      <c r="IS22" s="1"/>
      <c r="IT22" s="1"/>
      <c r="IU22" s="1"/>
    </row>
    <row r="23" spans="1:255" s="30" customFormat="1" ht="15.75" customHeight="1" thickBot="1" x14ac:dyDescent="0.25">
      <c r="A23" s="19"/>
      <c r="B23" s="170" t="s">
        <v>23</v>
      </c>
      <c r="C23" s="170"/>
      <c r="D23" s="170"/>
      <c r="E23" s="170"/>
      <c r="F23" s="170"/>
      <c r="G23" s="170"/>
      <c r="H23" s="170"/>
      <c r="I23" s="33"/>
      <c r="J23" s="47"/>
      <c r="K23" s="48" t="str">
        <f>CONCATENATE(ROUND(N16,1),"%")</f>
        <v>0%</v>
      </c>
      <c r="L23" s="34"/>
      <c r="M23" s="26"/>
      <c r="N23" s="31"/>
      <c r="IB23" s="1"/>
      <c r="IC23" s="1"/>
      <c r="ID23" s="1"/>
      <c r="IE23" s="1"/>
      <c r="IF23" s="1"/>
      <c r="IG23" s="1"/>
      <c r="IH23" s="1"/>
      <c r="II23" s="1"/>
      <c r="IJ23" s="1"/>
      <c r="IK23" s="1"/>
      <c r="IL23" s="1"/>
      <c r="IM23" s="1"/>
      <c r="IN23" s="1"/>
      <c r="IO23" s="1"/>
      <c r="IP23" s="1"/>
      <c r="IQ23" s="1"/>
      <c r="IR23" s="1"/>
      <c r="IS23" s="1"/>
      <c r="IT23" s="1"/>
      <c r="IU23" s="1"/>
    </row>
    <row r="24" spans="1:255" s="30" customFormat="1" ht="26.25" customHeight="1" x14ac:dyDescent="0.2">
      <c r="A24" s="3"/>
      <c r="B24" s="175" t="s">
        <v>24</v>
      </c>
      <c r="C24" s="175"/>
      <c r="D24" s="176" t="s">
        <v>25</v>
      </c>
      <c r="E24" s="176"/>
      <c r="F24" s="50">
        <f>M24</f>
        <v>0</v>
      </c>
      <c r="G24" s="49" t="s">
        <v>5</v>
      </c>
      <c r="H24" s="51">
        <v>0.08</v>
      </c>
      <c r="I24" s="51"/>
      <c r="J24" s="177"/>
      <c r="K24" s="177"/>
      <c r="L24" s="16">
        <f>IF(M24=F24,SUM(L26:L30),0%)</f>
        <v>0</v>
      </c>
      <c r="M24" s="17">
        <f>SUM(M26:M30)</f>
        <v>0</v>
      </c>
      <c r="N24" s="41">
        <f>SUM(N26:N30)</f>
        <v>0</v>
      </c>
      <c r="IB24" s="1"/>
      <c r="IC24" s="1"/>
      <c r="ID24" s="1"/>
      <c r="IE24" s="1"/>
      <c r="IF24" s="1"/>
      <c r="IG24" s="1"/>
      <c r="IH24" s="1"/>
      <c r="II24" s="1"/>
      <c r="IJ24" s="1"/>
      <c r="IK24" s="1"/>
      <c r="IL24" s="1"/>
      <c r="IM24" s="1"/>
      <c r="IN24" s="1"/>
      <c r="IO24" s="1"/>
      <c r="IP24" s="1"/>
      <c r="IQ24" s="1"/>
      <c r="IR24" s="1"/>
      <c r="IS24" s="1"/>
      <c r="IT24" s="1"/>
      <c r="IU24" s="1"/>
    </row>
    <row r="25" spans="1:255" s="30" customFormat="1" ht="24" customHeight="1" thickBot="1" x14ac:dyDescent="0.25">
      <c r="A25" s="3"/>
      <c r="B25" s="163" t="s">
        <v>26</v>
      </c>
      <c r="C25" s="163"/>
      <c r="D25" s="164" t="s">
        <v>27</v>
      </c>
      <c r="E25" s="164"/>
      <c r="F25" s="164" t="s">
        <v>28</v>
      </c>
      <c r="G25" s="164"/>
      <c r="H25" s="164"/>
      <c r="I25" s="13"/>
      <c r="J25" s="178" t="s">
        <v>29</v>
      </c>
      <c r="K25" s="178"/>
      <c r="L25" s="52"/>
      <c r="M25" s="5"/>
      <c r="N25" s="31"/>
      <c r="IB25" s="1"/>
      <c r="IC25" s="1"/>
      <c r="ID25" s="1"/>
      <c r="IE25" s="1"/>
      <c r="IF25" s="1"/>
      <c r="IG25" s="1"/>
      <c r="IH25" s="1"/>
      <c r="II25" s="1"/>
      <c r="IJ25" s="1"/>
      <c r="IK25" s="1"/>
      <c r="IL25" s="1"/>
      <c r="IM25" s="1"/>
      <c r="IN25" s="1"/>
      <c r="IO25" s="1"/>
      <c r="IP25" s="1"/>
      <c r="IQ25" s="1"/>
      <c r="IR25" s="1"/>
      <c r="IS25" s="1"/>
      <c r="IT25" s="1"/>
      <c r="IU25" s="1"/>
    </row>
    <row r="26" spans="1:255" s="30" customFormat="1" ht="54.75" customHeight="1" x14ac:dyDescent="0.2">
      <c r="A26" s="32"/>
      <c r="B26" s="179"/>
      <c r="C26" s="179"/>
      <c r="D26" s="180"/>
      <c r="E26" s="180"/>
      <c r="F26" s="181" t="str">
        <f>IF(AND(B26&lt;&gt;"",D26&lt;&gt;""),IF(D26="Alta",VLOOKUP(B26,Tecnicas!$A$5:$D$58,2,0),IF(D26="Media",VLOOKUP(B26,Tecnicas!$A$5:$D$58,3,0),IF(D26="Baja",VLOOKUP(B26,Tecnicas!A4:D58,4,0)))),"")</f>
        <v/>
      </c>
      <c r="G26" s="181"/>
      <c r="H26" s="181"/>
      <c r="I26" s="53"/>
      <c r="J26" s="55" t="str">
        <f>IF(OR(B26="",D26=""),"",IF(K26="Altamente Desarrollada",5,IF(K26="Desarrollada",4,IF(K26="Medianamente Desarrollada",3,IF(K26="Poco Desarrollada",2,IF(K26="No Desarrollada",1,""))))))</f>
        <v/>
      </c>
      <c r="K26" s="54"/>
      <c r="L26" s="25">
        <f>IF(J26&lt;&gt;"",IF(J26=5,8,IF(J26=4,6,IF(J26=3,4,IF(J26=2,2,IF(J26=1,0,""))))),0)</f>
        <v>0</v>
      </c>
      <c r="M26" s="26">
        <f>IF(AND(B26&lt;&gt;"",D26&lt;&gt;"",K26&lt;&gt;""),1,0)</f>
        <v>0</v>
      </c>
      <c r="N26" s="46">
        <f>IF(L26=0,0,(L26/M24))</f>
        <v>0</v>
      </c>
      <c r="IB26" s="1"/>
      <c r="IC26" s="1"/>
      <c r="ID26" s="1"/>
      <c r="IE26" s="1"/>
      <c r="IF26" s="1"/>
      <c r="IG26" s="1"/>
      <c r="IH26" s="1"/>
      <c r="II26" s="1"/>
      <c r="IJ26" s="1"/>
      <c r="IK26" s="1"/>
      <c r="IL26" s="1"/>
      <c r="IM26" s="1"/>
      <c r="IN26" s="1"/>
      <c r="IO26" s="1"/>
      <c r="IP26" s="1"/>
      <c r="IQ26" s="1"/>
      <c r="IR26" s="1"/>
      <c r="IS26" s="1"/>
      <c r="IT26" s="1"/>
      <c r="IU26" s="1"/>
    </row>
    <row r="27" spans="1:255" s="30" customFormat="1" ht="54.75" customHeight="1" x14ac:dyDescent="0.2">
      <c r="A27" s="32"/>
      <c r="B27" s="179"/>
      <c r="C27" s="179"/>
      <c r="D27" s="180"/>
      <c r="E27" s="180"/>
      <c r="F27" s="181" t="str">
        <f>IF(AND(B27&lt;&gt;"",D27&lt;&gt;""),IF(D27="Alta",VLOOKUP(B27,Tecnicas!$A$5:$D$58,2,0),IF(D27="Media",VLOOKUP(B27,Tecnicas!$A$5:$D$58,3,0),IF(D27="Baja",VLOOKUP(B27,Tecnicas!A5:D59,4,0)))),"")</f>
        <v/>
      </c>
      <c r="G27" s="181"/>
      <c r="H27" s="181"/>
      <c r="I27" s="53"/>
      <c r="J27" s="55" t="str">
        <f>IF(OR(B27="",D27=""),"",IF(K27="Altamente Desarrollada",5,IF(K27="Desarrollada",4,IF(K27="Medianamente Desarrollada",3,IF(K27="Poco Desarrollada",2,IF(K27="No Desarrollada",1,""))))))</f>
        <v/>
      </c>
      <c r="K27" s="56"/>
      <c r="L27" s="25">
        <f>IF(J27&lt;&gt;"",IF(J27=5,8,IF(J27=4,6,IF(J27=3,4,IF(J27=2,2,IF(J27=1,0,""))))),0)</f>
        <v>0</v>
      </c>
      <c r="M27" s="26">
        <f>IF(AND(B27&lt;&gt;"",D27&lt;&gt;"",K27&lt;&gt;""),1,0)</f>
        <v>0</v>
      </c>
      <c r="N27" s="46">
        <f>IF(L27=0,0,(L27/M24))</f>
        <v>0</v>
      </c>
      <c r="IB27" s="1"/>
      <c r="IC27" s="1"/>
      <c r="ID27" s="1"/>
      <c r="IE27" s="1"/>
      <c r="IF27" s="1"/>
      <c r="IG27" s="1"/>
      <c r="IH27" s="1"/>
      <c r="II27" s="1"/>
      <c r="IJ27" s="1"/>
      <c r="IK27" s="1"/>
      <c r="IL27" s="1"/>
      <c r="IM27" s="1"/>
      <c r="IN27" s="1"/>
      <c r="IO27" s="1"/>
      <c r="IP27" s="1"/>
      <c r="IQ27" s="1"/>
      <c r="IR27" s="1"/>
      <c r="IS27" s="1"/>
      <c r="IT27" s="1"/>
      <c r="IU27" s="1"/>
    </row>
    <row r="28" spans="1:255" s="30" customFormat="1" ht="54.75" customHeight="1" x14ac:dyDescent="0.2">
      <c r="A28" s="32"/>
      <c r="B28" s="179"/>
      <c r="C28" s="179"/>
      <c r="D28" s="180"/>
      <c r="E28" s="180"/>
      <c r="F28" s="181" t="str">
        <f>IF(AND(B28&lt;&gt;"",D28&lt;&gt;""),IF(D28="Alta",VLOOKUP(B28,Tecnicas!$A$5:$D$58,2,0),IF(D28="Media",VLOOKUP(B28,Tecnicas!$A$5:$D$58,3,0),IF(D28="Baja",VLOOKUP(B28,Tecnicas!A6:D60,4,0)))),"")</f>
        <v/>
      </c>
      <c r="G28" s="181"/>
      <c r="H28" s="181"/>
      <c r="I28" s="53"/>
      <c r="J28" s="55" t="str">
        <f>IF(OR(B28="",D28=""),"",IF(K28="Altamente Desarrollada",5,IF(K28="Desarrollada",4,IF(K28="Medianamente Desarrollada",3,IF(K28="Poco Desarrollada",2,IF(K28="No Desarrollada",1,""))))))</f>
        <v/>
      </c>
      <c r="K28" s="56"/>
      <c r="L28" s="25">
        <f>IF(J28&lt;&gt;"",IF(J28=5,8,IF(J28=4,6,IF(J28=3,4,IF(J28=2,2,IF(J28=1,0,""))))),0)</f>
        <v>0</v>
      </c>
      <c r="M28" s="26">
        <f>IF(AND(B28&lt;&gt;"",D28&lt;&gt;"",K28&lt;&gt;""),1,0)</f>
        <v>0</v>
      </c>
      <c r="N28" s="46">
        <f>IF(L28=0,0,(L28/M24))</f>
        <v>0</v>
      </c>
      <c r="IB28" s="1"/>
      <c r="IC28" s="1"/>
      <c r="ID28" s="1"/>
      <c r="IE28" s="1"/>
      <c r="IF28" s="1"/>
      <c r="IG28" s="1"/>
      <c r="IH28" s="1"/>
      <c r="II28" s="1"/>
      <c r="IJ28" s="1"/>
      <c r="IK28" s="1"/>
      <c r="IL28" s="1"/>
      <c r="IM28" s="1"/>
      <c r="IN28" s="1"/>
      <c r="IO28" s="1"/>
      <c r="IP28" s="1"/>
      <c r="IQ28" s="1"/>
      <c r="IR28" s="1"/>
      <c r="IS28" s="1"/>
      <c r="IT28" s="1"/>
      <c r="IU28" s="1"/>
    </row>
    <row r="29" spans="1:255" s="30" customFormat="1" ht="54.75" customHeight="1" x14ac:dyDescent="0.2">
      <c r="A29" s="32"/>
      <c r="B29" s="179"/>
      <c r="C29" s="179"/>
      <c r="D29" s="180"/>
      <c r="E29" s="180"/>
      <c r="F29" s="181" t="str">
        <f>IF(AND(B29&lt;&gt;"",D29&lt;&gt;""),IF(D29="Alta",VLOOKUP(B29,Tecnicas!$A$5:$D$58,2,0),IF(D29="Media",VLOOKUP(B29,Tecnicas!$A$5:$D$58,3,0),IF(D29="Baja",VLOOKUP(B29,Tecnicas!A7:D61,4,0)))),"")</f>
        <v/>
      </c>
      <c r="G29" s="181"/>
      <c r="H29" s="181"/>
      <c r="I29" s="53"/>
      <c r="J29" s="55" t="str">
        <f>IF(OR(B29="",D29=""),"",IF(K29="Altamente Desarrollada",5,IF(K29="Desarrollada",4,IF(K29="Medianamente Desarrollada",3,IF(K29="Poco Desarrollada",2,IF(K29="No Desarrollada",1,""))))))</f>
        <v/>
      </c>
      <c r="K29" s="56"/>
      <c r="L29" s="25">
        <f>IF(J29&lt;&gt;"",IF(J29=5,8,IF(J29=4,6,IF(J29=3,4,IF(J29=2,2,IF(J29=1,0,""))))),0)</f>
        <v>0</v>
      </c>
      <c r="M29" s="26">
        <f>IF(AND(B29&lt;&gt;"",D29&lt;&gt;"",K29&lt;&gt;""),1,0)</f>
        <v>0</v>
      </c>
      <c r="N29" s="46">
        <f>IF(L29=0,0,(L29/M24))</f>
        <v>0</v>
      </c>
      <c r="IB29" s="1"/>
      <c r="IC29" s="1"/>
      <c r="ID29" s="1"/>
      <c r="IE29" s="1"/>
      <c r="IF29" s="1"/>
      <c r="IG29" s="1"/>
      <c r="IH29" s="1"/>
      <c r="II29" s="1"/>
      <c r="IJ29" s="1"/>
      <c r="IK29" s="1"/>
      <c r="IL29" s="1"/>
      <c r="IM29" s="1"/>
      <c r="IN29" s="1"/>
      <c r="IO29" s="1"/>
      <c r="IP29" s="1"/>
      <c r="IQ29" s="1"/>
      <c r="IR29" s="1"/>
      <c r="IS29" s="1"/>
      <c r="IT29" s="1"/>
      <c r="IU29" s="1"/>
    </row>
    <row r="30" spans="1:255" s="30" customFormat="1" ht="54.75" customHeight="1" thickBot="1" x14ac:dyDescent="0.25">
      <c r="A30" s="32"/>
      <c r="B30" s="179"/>
      <c r="C30" s="179"/>
      <c r="D30" s="180"/>
      <c r="E30" s="180"/>
      <c r="F30" s="181" t="str">
        <f>IF(AND(B30&lt;&gt;"",D30&lt;&gt;""),IF(D30="Alta",VLOOKUP(B30,Tecnicas!$A$5:$D$58,2,0),IF(D30="Media",VLOOKUP(B30,Tecnicas!$A$5:$D$58,3,0),IF(D30="Baja",VLOOKUP(B30,Tecnicas!A8:D62,4,0)))),"")</f>
        <v/>
      </c>
      <c r="G30" s="181"/>
      <c r="H30" s="181"/>
      <c r="I30" s="53"/>
      <c r="J30" s="55" t="str">
        <f>IF(OR(B30="",D30=""),"",IF(K30="Altamente Desarrollada",5,IF(K30="Desarrollada",4,IF(K30="Medianamente Desarrollada",3,IF(K30="Poco Desarrollada",2,IF(K30="No Desarrollada",1,""))))))</f>
        <v/>
      </c>
      <c r="K30" s="56"/>
      <c r="L30" s="25">
        <f>IF(J30&lt;&gt;"",IF(J30=5,8,IF(J30=4,6,IF(J30=3,4,IF(J30=2,2,IF(J30=1,0,""))))),0)</f>
        <v>0</v>
      </c>
      <c r="M30" s="26">
        <f>IF(AND(B30&lt;&gt;"",D30&lt;&gt;"",K30&lt;&gt;""),1,0)</f>
        <v>0</v>
      </c>
      <c r="N30" s="46">
        <f>IF(L30=0,0,(L30/M24))</f>
        <v>0</v>
      </c>
      <c r="IB30" s="1"/>
      <c r="IC30" s="1"/>
      <c r="ID30" s="1"/>
      <c r="IE30" s="1"/>
      <c r="IF30" s="1"/>
      <c r="IG30" s="1"/>
      <c r="IH30" s="1"/>
      <c r="II30" s="1"/>
      <c r="IJ30" s="1"/>
      <c r="IK30" s="1"/>
      <c r="IL30" s="1"/>
      <c r="IM30" s="1"/>
      <c r="IN30" s="1"/>
      <c r="IO30" s="1"/>
      <c r="IP30" s="1"/>
      <c r="IQ30" s="1"/>
      <c r="IR30" s="1"/>
      <c r="IS30" s="1"/>
      <c r="IT30" s="1"/>
      <c r="IU30" s="1"/>
    </row>
    <row r="31" spans="1:255" s="30" customFormat="1" ht="15.75" customHeight="1" thickBot="1" x14ac:dyDescent="0.25">
      <c r="A31" s="19"/>
      <c r="B31" s="182" t="s">
        <v>30</v>
      </c>
      <c r="C31" s="182"/>
      <c r="D31" s="182"/>
      <c r="E31" s="182"/>
      <c r="F31" s="182"/>
      <c r="G31" s="182"/>
      <c r="H31" s="182"/>
      <c r="I31" s="57"/>
      <c r="J31" s="47"/>
      <c r="K31" s="48" t="str">
        <f>CONCATENATE(ROUND(N24,1),"%")</f>
        <v>0%</v>
      </c>
      <c r="L31" s="34"/>
      <c r="M31" s="26"/>
      <c r="N31" s="31"/>
      <c r="IB31" s="1"/>
      <c r="IC31" s="1"/>
      <c r="ID31" s="1"/>
      <c r="IE31" s="1"/>
      <c r="IF31" s="1"/>
      <c r="IG31" s="1"/>
      <c r="IH31" s="1"/>
      <c r="II31" s="1"/>
      <c r="IJ31" s="1"/>
      <c r="IK31" s="1"/>
      <c r="IL31" s="1"/>
      <c r="IM31" s="1"/>
      <c r="IN31" s="1"/>
      <c r="IO31" s="1"/>
      <c r="IP31" s="1"/>
      <c r="IQ31" s="1"/>
      <c r="IR31" s="1"/>
      <c r="IS31" s="1"/>
      <c r="IT31" s="1"/>
      <c r="IU31" s="1"/>
    </row>
    <row r="32" spans="1:255" s="30" customFormat="1" ht="23.25" customHeight="1" x14ac:dyDescent="0.2">
      <c r="A32" s="3"/>
      <c r="B32" s="58" t="s">
        <v>31</v>
      </c>
      <c r="C32" s="59"/>
      <c r="D32" s="183" t="s">
        <v>25</v>
      </c>
      <c r="E32" s="183"/>
      <c r="F32" s="60">
        <f>M32</f>
        <v>0</v>
      </c>
      <c r="G32" s="61" t="s">
        <v>5</v>
      </c>
      <c r="H32" s="62">
        <v>0.08</v>
      </c>
      <c r="I32" s="62"/>
      <c r="J32" s="177"/>
      <c r="K32" s="177"/>
      <c r="L32" s="63">
        <f>IF(M32=6,SUM(L35:L40),0%)</f>
        <v>0</v>
      </c>
      <c r="M32" s="17">
        <f>SUM(M35:M40)</f>
        <v>0</v>
      </c>
      <c r="N32" s="31"/>
      <c r="IB32" s="1"/>
      <c r="IC32" s="1"/>
      <c r="ID32" s="1"/>
      <c r="IE32" s="1"/>
      <c r="IF32" s="1"/>
      <c r="IG32" s="1"/>
      <c r="IH32" s="1"/>
      <c r="II32" s="1"/>
      <c r="IJ32" s="1"/>
      <c r="IK32" s="1"/>
      <c r="IL32" s="1"/>
      <c r="IM32" s="1"/>
      <c r="IN32" s="1"/>
      <c r="IO32" s="1"/>
      <c r="IP32" s="1"/>
      <c r="IQ32" s="1"/>
      <c r="IR32" s="1"/>
      <c r="IS32" s="1"/>
      <c r="IT32" s="1"/>
      <c r="IU32" s="1"/>
    </row>
    <row r="33" spans="1:255" s="30" customFormat="1" ht="12.95" customHeight="1" x14ac:dyDescent="0.2">
      <c r="A33" s="3"/>
      <c r="B33" s="184" t="s">
        <v>304</v>
      </c>
      <c r="C33" s="184"/>
      <c r="D33" s="184"/>
      <c r="E33" s="184"/>
      <c r="F33" s="184"/>
      <c r="G33" s="184"/>
      <c r="H33" s="184"/>
      <c r="I33" s="184"/>
      <c r="J33" s="184"/>
      <c r="K33" s="184"/>
      <c r="L33" s="4"/>
      <c r="N33" s="31"/>
      <c r="IB33" s="1"/>
      <c r="IC33" s="1"/>
      <c r="ID33" s="1"/>
      <c r="IE33" s="1"/>
      <c r="IF33" s="1"/>
      <c r="IG33" s="1"/>
      <c r="IH33" s="1"/>
      <c r="II33" s="1"/>
      <c r="IJ33" s="1"/>
      <c r="IK33" s="1"/>
      <c r="IL33" s="1"/>
      <c r="IM33" s="1"/>
      <c r="IN33" s="1"/>
      <c r="IO33" s="1"/>
      <c r="IP33" s="1"/>
      <c r="IQ33" s="1"/>
      <c r="IR33" s="1"/>
      <c r="IS33" s="1"/>
      <c r="IT33" s="1"/>
      <c r="IU33" s="1"/>
    </row>
    <row r="34" spans="1:255" s="30" customFormat="1" ht="23.25" customHeight="1" thickBot="1" x14ac:dyDescent="0.25">
      <c r="A34" s="3"/>
      <c r="B34" s="163" t="s">
        <v>32</v>
      </c>
      <c r="C34" s="163"/>
      <c r="D34" s="185" t="s">
        <v>27</v>
      </c>
      <c r="E34" s="185"/>
      <c r="F34" s="164" t="s">
        <v>28</v>
      </c>
      <c r="G34" s="164"/>
      <c r="H34" s="164"/>
      <c r="I34" s="187" t="s">
        <v>33</v>
      </c>
      <c r="J34" s="188"/>
      <c r="K34" s="189"/>
      <c r="L34" s="52"/>
      <c r="M34" s="5"/>
      <c r="N34" s="31"/>
      <c r="IB34" s="1"/>
      <c r="IC34" s="1"/>
      <c r="ID34" s="1"/>
      <c r="IE34" s="1"/>
      <c r="IF34" s="1"/>
      <c r="IG34" s="1"/>
      <c r="IH34" s="1"/>
      <c r="II34" s="1"/>
      <c r="IJ34" s="1"/>
      <c r="IK34" s="1"/>
      <c r="IL34" s="1"/>
      <c r="IM34" s="1"/>
      <c r="IN34" s="1"/>
      <c r="IO34" s="1"/>
      <c r="IP34" s="1"/>
      <c r="IQ34" s="1"/>
      <c r="IR34" s="1"/>
      <c r="IS34" s="1"/>
      <c r="IT34" s="1"/>
      <c r="IU34" s="1"/>
    </row>
    <row r="35" spans="1:255" s="30" customFormat="1" ht="38.25" customHeight="1" x14ac:dyDescent="0.2">
      <c r="A35" s="32"/>
      <c r="B35" s="186" t="s">
        <v>34</v>
      </c>
      <c r="C35" s="186"/>
      <c r="D35" s="180"/>
      <c r="E35" s="180"/>
      <c r="F35" s="181" t="str">
        <f>IF(AND(B35&lt;&gt;"",D35&lt;&gt;""),IF(D35="Alta",VLOOKUP(B35,Tecnicas!$A$5:$D$58,2,0),IF(D35="Media",VLOOKUP(B35,Tecnicas!$A$5:$D$58,3,0),IF(D35="Baja",VLOOKUP(B35,Tecnicas!A13:D67,4,0)))),"")</f>
        <v/>
      </c>
      <c r="G35" s="181"/>
      <c r="H35" s="181"/>
      <c r="I35" s="64"/>
      <c r="J35" s="64" t="str">
        <f>IF(OR(B35="",D35=""),"",IF(K35="Siempre",5,IF(K35="Frecuentemente",4,IF(K35="Alguna vez",3,IF(K35="Rara vez",2,IF(K35="Nunca",1,""))))))</f>
        <v/>
      </c>
      <c r="K35" s="65"/>
      <c r="L35" s="52" t="str">
        <f>IF(J35=5,1.33,IF(J35=4,0.99,IF(J35=3,0.66,IF(J35=2,0.33,IF(J35=1,0,"")))))</f>
        <v/>
      </c>
      <c r="M35" s="26">
        <f t="shared" ref="M35:M40" si="6">IF(AND(D35&lt;&gt;"",K35&lt;&gt;""),1,0)</f>
        <v>0</v>
      </c>
      <c r="N35" s="31"/>
      <c r="Q35" s="1"/>
      <c r="IB35" s="1"/>
      <c r="IC35" s="1"/>
      <c r="ID35" s="1"/>
      <c r="IE35" s="1"/>
      <c r="IF35" s="1"/>
      <c r="IG35" s="1"/>
      <c r="IH35" s="1"/>
      <c r="II35" s="1"/>
      <c r="IJ35" s="1"/>
      <c r="IK35" s="1"/>
      <c r="IL35" s="1"/>
      <c r="IM35" s="1"/>
      <c r="IN35" s="1"/>
      <c r="IO35" s="1"/>
      <c r="IP35" s="1"/>
      <c r="IQ35" s="1"/>
      <c r="IR35" s="1"/>
      <c r="IS35" s="1"/>
      <c r="IT35" s="1"/>
      <c r="IU35" s="1"/>
    </row>
    <row r="36" spans="1:255" s="30" customFormat="1" ht="38.25" customHeight="1" x14ac:dyDescent="0.2">
      <c r="A36" s="32"/>
      <c r="B36" s="190" t="s">
        <v>35</v>
      </c>
      <c r="C36" s="190"/>
      <c r="D36" s="191"/>
      <c r="E36" s="191"/>
      <c r="F36" s="181" t="str">
        <f>IF(AND(B36&lt;&gt;"",D36&lt;&gt;""),IF(D36="Alta",VLOOKUP(B36,Tecnicas!$A$5:$D$58,2,0),IF(D36="Media",VLOOKUP(B36,Tecnicas!$A$5:$D$58,3,0),IF(D36="Baja",VLOOKUP(B36,Tecnicas!A14:D68,4,0)))),"")</f>
        <v/>
      </c>
      <c r="G36" s="181"/>
      <c r="H36" s="181"/>
      <c r="I36" s="64"/>
      <c r="J36" s="64" t="str">
        <f t="shared" ref="J36:J40" si="7">IF(OR(B36="",D36=""),"",IF(K36="Siempre",5,IF(K36="Frecuentemente",4,IF(K36="Alguna vez",3,IF(K36="Rara vez",2,IF(K36="Nunca",1,""))))))</f>
        <v/>
      </c>
      <c r="K36" s="66"/>
      <c r="L36" s="52" t="str">
        <f t="shared" ref="L36:L40" si="8">IF(J36=5,1.33,IF(J36=4,0.99,IF(J36=3,0.66,IF(J36=2,0.33,IF(J36=1,0,"")))))</f>
        <v/>
      </c>
      <c r="M36" s="26">
        <f t="shared" si="6"/>
        <v>0</v>
      </c>
      <c r="N36" s="31"/>
      <c r="IB36" s="1"/>
      <c r="IC36" s="1"/>
      <c r="ID36" s="1"/>
      <c r="IE36" s="1"/>
      <c r="IF36" s="1"/>
      <c r="IG36" s="1"/>
      <c r="IH36" s="1"/>
      <c r="II36" s="1"/>
      <c r="IJ36" s="1"/>
      <c r="IK36" s="1"/>
      <c r="IL36" s="1"/>
      <c r="IM36" s="1"/>
      <c r="IN36" s="1"/>
      <c r="IO36" s="1"/>
      <c r="IP36" s="1"/>
      <c r="IQ36" s="1"/>
      <c r="IR36" s="1"/>
      <c r="IS36" s="1"/>
      <c r="IT36" s="1"/>
      <c r="IU36" s="1"/>
    </row>
    <row r="37" spans="1:255" s="30" customFormat="1" ht="38.25" customHeight="1" x14ac:dyDescent="0.2">
      <c r="A37" s="32"/>
      <c r="B37" s="190" t="s">
        <v>36</v>
      </c>
      <c r="C37" s="190"/>
      <c r="D37" s="191"/>
      <c r="E37" s="191"/>
      <c r="F37" s="181" t="str">
        <f>IF(AND(B37&lt;&gt;"",D37&lt;&gt;""),IF(D37="Alta",VLOOKUP(B37,Tecnicas!$A$5:$D$58,2,0),IF(D37="Media",VLOOKUP(B37,Tecnicas!$A$5:$D$58,3,0),IF(D37="Baja",VLOOKUP(B37,Tecnicas!A15:D69,4,0)))),"")</f>
        <v/>
      </c>
      <c r="G37" s="181"/>
      <c r="H37" s="181"/>
      <c r="I37" s="64"/>
      <c r="J37" s="64" t="str">
        <f t="shared" si="7"/>
        <v/>
      </c>
      <c r="K37" s="66"/>
      <c r="L37" s="52" t="str">
        <f t="shared" si="8"/>
        <v/>
      </c>
      <c r="M37" s="26">
        <f t="shared" si="6"/>
        <v>0</v>
      </c>
      <c r="N37" s="31"/>
      <c r="IB37" s="1"/>
      <c r="IC37" s="1"/>
      <c r="ID37" s="1"/>
      <c r="IE37" s="1"/>
      <c r="IF37" s="1"/>
      <c r="IG37" s="1"/>
      <c r="IH37" s="1"/>
      <c r="II37" s="1"/>
      <c r="IJ37" s="1"/>
      <c r="IK37" s="1"/>
      <c r="IL37" s="1"/>
      <c r="IM37" s="1"/>
      <c r="IN37" s="1"/>
      <c r="IO37" s="1"/>
      <c r="IP37" s="1"/>
      <c r="IQ37" s="1"/>
      <c r="IR37" s="1"/>
      <c r="IS37" s="1"/>
      <c r="IT37" s="1"/>
      <c r="IU37" s="1"/>
    </row>
    <row r="38" spans="1:255" s="30" customFormat="1" ht="38.25" customHeight="1" x14ac:dyDescent="0.2">
      <c r="A38" s="32"/>
      <c r="B38" s="190" t="s">
        <v>37</v>
      </c>
      <c r="C38" s="190"/>
      <c r="D38" s="191"/>
      <c r="E38" s="191"/>
      <c r="F38" s="181" t="str">
        <f>IF(AND(B38&lt;&gt;"",D38&lt;&gt;""),IF(D38="Alta",VLOOKUP(B38,Tecnicas!$A$5:$D$58,2,0),IF(D38="Media",VLOOKUP(B38,Tecnicas!$A$5:$D$58,3,0),IF(D38="Baja",VLOOKUP(B38,Tecnicas!A16:D70,4,0)))),"")</f>
        <v/>
      </c>
      <c r="G38" s="181"/>
      <c r="H38" s="181"/>
      <c r="I38" s="64"/>
      <c r="J38" s="64" t="str">
        <f t="shared" si="7"/>
        <v/>
      </c>
      <c r="K38" s="66"/>
      <c r="L38" s="52" t="str">
        <f t="shared" si="8"/>
        <v/>
      </c>
      <c r="M38" s="26">
        <f t="shared" si="6"/>
        <v>0</v>
      </c>
      <c r="N38" s="31"/>
      <c r="Q38" s="1"/>
      <c r="IB38" s="1"/>
      <c r="IC38" s="1"/>
      <c r="ID38" s="1"/>
      <c r="IE38" s="1"/>
      <c r="IF38" s="1"/>
      <c r="IG38" s="1"/>
      <c r="IH38" s="1"/>
      <c r="II38" s="1"/>
      <c r="IJ38" s="1"/>
      <c r="IK38" s="1"/>
      <c r="IL38" s="1"/>
      <c r="IM38" s="1"/>
      <c r="IN38" s="1"/>
      <c r="IO38" s="1"/>
      <c r="IP38" s="1"/>
      <c r="IQ38" s="1"/>
      <c r="IR38" s="1"/>
      <c r="IS38" s="1"/>
      <c r="IT38" s="1"/>
      <c r="IU38" s="1"/>
    </row>
    <row r="39" spans="1:255" s="30" customFormat="1" ht="38.25" customHeight="1" x14ac:dyDescent="0.2">
      <c r="A39" s="32"/>
      <c r="B39" s="190" t="s">
        <v>38</v>
      </c>
      <c r="C39" s="190"/>
      <c r="D39" s="191"/>
      <c r="E39" s="191"/>
      <c r="F39" s="181" t="str">
        <f>IF(AND(B39&lt;&gt;"",D39&lt;&gt;""),IF(D39="Alta",VLOOKUP(B39,Tecnicas!$A$5:$D$58,2,0),IF(D39="Media",VLOOKUP(B39,Tecnicas!$A$5:$D$58,3,0),IF(D39="Baja",VLOOKUP(B39,Tecnicas!A17:D71,4,0)))),"")</f>
        <v/>
      </c>
      <c r="G39" s="181"/>
      <c r="H39" s="181"/>
      <c r="I39" s="64"/>
      <c r="J39" s="64" t="str">
        <f t="shared" si="7"/>
        <v/>
      </c>
      <c r="K39" s="66"/>
      <c r="L39" s="52" t="str">
        <f t="shared" si="8"/>
        <v/>
      </c>
      <c r="M39" s="26">
        <f t="shared" si="6"/>
        <v>0</v>
      </c>
      <c r="N39" s="31"/>
      <c r="IB39" s="1"/>
      <c r="IC39" s="1"/>
      <c r="ID39" s="1"/>
      <c r="IE39" s="1"/>
      <c r="IF39" s="1"/>
      <c r="IG39" s="1"/>
      <c r="IH39" s="1"/>
      <c r="II39" s="1"/>
      <c r="IJ39" s="1"/>
      <c r="IK39" s="1"/>
      <c r="IL39" s="1"/>
      <c r="IM39" s="1"/>
      <c r="IN39" s="1"/>
      <c r="IO39" s="1"/>
      <c r="IP39" s="1"/>
      <c r="IQ39" s="1"/>
      <c r="IR39" s="1"/>
      <c r="IS39" s="1"/>
      <c r="IT39" s="1"/>
      <c r="IU39" s="1"/>
    </row>
    <row r="40" spans="1:255" s="30" customFormat="1" ht="38.25" customHeight="1" thickBot="1" x14ac:dyDescent="0.25">
      <c r="A40" s="32"/>
      <c r="B40" s="192" t="s">
        <v>39</v>
      </c>
      <c r="C40" s="192"/>
      <c r="D40" s="193"/>
      <c r="E40" s="193"/>
      <c r="F40" s="181" t="str">
        <f>IF(AND(B40&lt;&gt;"",D40&lt;&gt;""),IF(D40="Alta",VLOOKUP(B40,Tecnicas!$A$5:$D$58,2,0),IF(D40="Media",VLOOKUP(B40,Tecnicas!$A$5:$D$58,3,0),IF(D40="Baja",VLOOKUP(B40,Tecnicas!A18:D72,4,0)))),"")</f>
        <v/>
      </c>
      <c r="G40" s="181"/>
      <c r="H40" s="181"/>
      <c r="I40" s="64"/>
      <c r="J40" s="64" t="str">
        <f t="shared" si="7"/>
        <v/>
      </c>
      <c r="K40" s="67"/>
      <c r="L40" s="52" t="str">
        <f t="shared" si="8"/>
        <v/>
      </c>
      <c r="M40" s="26">
        <f t="shared" si="6"/>
        <v>0</v>
      </c>
      <c r="N40" s="31"/>
      <c r="IB40" s="1"/>
      <c r="IC40" s="1"/>
      <c r="ID40" s="1"/>
      <c r="IE40" s="1"/>
      <c r="IF40" s="1"/>
      <c r="IG40" s="1"/>
      <c r="IH40" s="1"/>
      <c r="II40" s="1"/>
      <c r="IJ40" s="1"/>
      <c r="IK40" s="1"/>
      <c r="IL40" s="1"/>
      <c r="IM40" s="1"/>
      <c r="IN40" s="1"/>
      <c r="IO40" s="1"/>
      <c r="IP40" s="1"/>
      <c r="IQ40" s="1"/>
      <c r="IR40" s="1"/>
      <c r="IS40" s="1"/>
      <c r="IT40" s="1"/>
      <c r="IU40" s="1"/>
    </row>
    <row r="41" spans="1:255" s="30" customFormat="1" ht="15.75" customHeight="1" thickBot="1" x14ac:dyDescent="0.25">
      <c r="A41" s="32"/>
      <c r="B41" s="170" t="s">
        <v>40</v>
      </c>
      <c r="C41" s="170"/>
      <c r="D41" s="170"/>
      <c r="E41" s="170"/>
      <c r="F41" s="170"/>
      <c r="G41" s="170"/>
      <c r="H41" s="170"/>
      <c r="I41" s="33"/>
      <c r="J41" s="68"/>
      <c r="K41" s="48" t="str">
        <f>CONCATENATE(ROUND(L32,1),"%")</f>
        <v>0%</v>
      </c>
      <c r="L41" s="34"/>
      <c r="M41" s="69"/>
      <c r="N41" s="31"/>
      <c r="IB41" s="1"/>
      <c r="IC41" s="1"/>
      <c r="ID41" s="1"/>
      <c r="IE41" s="1"/>
      <c r="IF41" s="1"/>
      <c r="IG41" s="1"/>
      <c r="IH41" s="1"/>
      <c r="II41" s="1"/>
      <c r="IJ41" s="1"/>
      <c r="IK41" s="1"/>
      <c r="IL41" s="1"/>
      <c r="IM41" s="1"/>
      <c r="IN41" s="1"/>
      <c r="IO41" s="1"/>
      <c r="IP41" s="1"/>
      <c r="IQ41" s="1"/>
      <c r="IR41" s="1"/>
      <c r="IS41" s="1"/>
      <c r="IT41" s="1"/>
      <c r="IU41" s="1"/>
    </row>
    <row r="42" spans="1:255" s="30" customFormat="1" ht="12.95" customHeight="1" x14ac:dyDescent="0.2">
      <c r="A42" s="3"/>
      <c r="B42" s="70" t="s">
        <v>41</v>
      </c>
      <c r="C42" s="71"/>
      <c r="D42" s="72"/>
      <c r="E42" s="72"/>
      <c r="F42" s="72"/>
      <c r="G42" s="73" t="s">
        <v>5</v>
      </c>
      <c r="H42" s="74">
        <v>0.16</v>
      </c>
      <c r="I42" s="74"/>
      <c r="J42" s="194"/>
      <c r="K42" s="194"/>
      <c r="L42" s="63">
        <f>IF(M48=2,SUM(L44:L45),N42)</f>
        <v>0</v>
      </c>
      <c r="N42" s="75">
        <f>SUM(N44:N47)</f>
        <v>0</v>
      </c>
      <c r="IB42" s="1"/>
      <c r="IC42" s="1"/>
      <c r="ID42" s="1"/>
      <c r="IE42" s="1"/>
      <c r="IF42" s="1"/>
      <c r="IG42" s="1"/>
      <c r="IH42" s="1"/>
      <c r="II42" s="1"/>
      <c r="IJ42" s="1"/>
      <c r="IK42" s="1"/>
      <c r="IL42" s="1"/>
      <c r="IM42" s="1"/>
      <c r="IN42" s="1"/>
      <c r="IO42" s="1"/>
      <c r="IP42" s="1"/>
      <c r="IQ42" s="1"/>
      <c r="IR42" s="1"/>
      <c r="IS42" s="1"/>
      <c r="IT42" s="1"/>
      <c r="IU42" s="1"/>
    </row>
    <row r="43" spans="1:255" s="30" customFormat="1" ht="21" customHeight="1" x14ac:dyDescent="0.2">
      <c r="A43" s="3"/>
      <c r="B43" s="76" t="s">
        <v>42</v>
      </c>
      <c r="C43" s="77" t="s">
        <v>43</v>
      </c>
      <c r="D43" s="195" t="s">
        <v>44</v>
      </c>
      <c r="E43" s="195"/>
      <c r="F43" s="195"/>
      <c r="G43" s="195"/>
      <c r="H43" s="195"/>
      <c r="I43" s="78"/>
      <c r="J43" s="196" t="s">
        <v>33</v>
      </c>
      <c r="K43" s="196"/>
      <c r="L43" s="4"/>
      <c r="N43" s="31"/>
      <c r="IB43" s="1"/>
      <c r="IC43" s="1"/>
      <c r="ID43" s="1"/>
      <c r="IE43" s="1"/>
      <c r="IF43" s="1"/>
      <c r="IG43" s="1"/>
      <c r="IH43" s="1"/>
      <c r="II43" s="1"/>
      <c r="IJ43" s="1"/>
      <c r="IK43" s="1"/>
      <c r="IL43" s="1"/>
      <c r="IM43" s="1"/>
      <c r="IN43" s="1"/>
      <c r="IO43" s="1"/>
      <c r="IP43" s="1"/>
      <c r="IQ43" s="1"/>
      <c r="IR43" s="1"/>
      <c r="IS43" s="1"/>
      <c r="IT43" s="1"/>
      <c r="IU43" s="1"/>
    </row>
    <row r="44" spans="1:255" s="30" customFormat="1" ht="35.1" customHeight="1" x14ac:dyDescent="0.2">
      <c r="A44" s="32"/>
      <c r="B44" s="79" t="s">
        <v>45</v>
      </c>
      <c r="C44" s="80"/>
      <c r="D44" s="197" t="str">
        <f>IF(AND(C44&lt;&gt;""),IF(C44="Alta",Tecnicas!B55,IF(C44="Media",Tecnicas!C55,IF(C44="Baja",Tecnicas!D55))),"")</f>
        <v/>
      </c>
      <c r="E44" s="198"/>
      <c r="F44" s="198"/>
      <c r="G44" s="198"/>
      <c r="H44" s="199"/>
      <c r="I44" s="64"/>
      <c r="J44" s="81" t="str">
        <f>IF(B44="","",IF(K44="Siempre",5,IF(K44="Frecuentemente",4,IF(K44="Alguna vez",3,IF(K44="Rara vez",2,IF(K44="Nunca",1,""))))))</f>
        <v/>
      </c>
      <c r="K44" s="65"/>
      <c r="L44" s="25" t="str">
        <f>IF(J44=5,8,IF(J44=4,6,IF(J44=3,4,IF(J44=2,2,IF(J44=1,0,"")))))</f>
        <v/>
      </c>
      <c r="M44" s="30">
        <f>IF(K44&lt;&gt;"",1,0)</f>
        <v>0</v>
      </c>
      <c r="N44" s="82" t="str">
        <f>IF(J44=5,5.33,IF(J44=4,3.99,IF(J44=3,2.66,IF(J44=2,1.33,IF(J44=1,0,"")))))</f>
        <v/>
      </c>
      <c r="IB44" s="1"/>
      <c r="IC44" s="1"/>
      <c r="ID44" s="1"/>
      <c r="IE44" s="1"/>
      <c r="IF44" s="1"/>
      <c r="IG44" s="1"/>
      <c r="IH44" s="1"/>
      <c r="II44" s="1"/>
      <c r="IJ44" s="1"/>
      <c r="IK44" s="1"/>
      <c r="IL44" s="1"/>
      <c r="IM44" s="1"/>
      <c r="IN44" s="1"/>
      <c r="IO44" s="1"/>
      <c r="IP44" s="1"/>
      <c r="IQ44" s="1"/>
      <c r="IR44" s="1"/>
      <c r="IS44" s="1"/>
      <c r="IT44" s="1"/>
      <c r="IU44" s="1"/>
    </row>
    <row r="45" spans="1:255" s="30" customFormat="1" ht="35.1" customHeight="1" x14ac:dyDescent="0.2">
      <c r="A45" s="32"/>
      <c r="B45" s="83" t="s">
        <v>46</v>
      </c>
      <c r="C45" s="80"/>
      <c r="D45" s="197" t="str">
        <f>IF(AND(C45&lt;&gt;""),IF(C45="Alta",Tecnicas!B56,IF(C45="Media",Tecnicas!C56,IF(C45="Baja",Tecnicas!D56))),"")</f>
        <v/>
      </c>
      <c r="E45" s="198"/>
      <c r="F45" s="198"/>
      <c r="G45" s="198"/>
      <c r="H45" s="199"/>
      <c r="I45" s="64"/>
      <c r="J45" s="81" t="str">
        <f>IF(B45="","",IF(K45="Siempre",5,IF(K45="Frecuentemente",4,IF(K45="Alguna vez",3,IF(K45="Rara vez",2,IF(K45="Nunca",1,""))))))</f>
        <v/>
      </c>
      <c r="K45" s="65"/>
      <c r="L45" s="25" t="str">
        <f>IF(J45=5,8,IF(J45=4,6,IF(J45=3,4,IF(J45=2,2,IF(J45=1,0,"")))))</f>
        <v/>
      </c>
      <c r="M45" s="30">
        <f>IF(K45&lt;&gt;"",1,0)</f>
        <v>0</v>
      </c>
      <c r="N45" s="82" t="str">
        <f>IF(J45=5,5.33,IF(J45=4,3.99,IF(J45=3,2.66,IF(J45=2,1.33,IF(J45=1,0,"")))))</f>
        <v/>
      </c>
      <c r="IB45" s="1"/>
      <c r="IC45" s="1"/>
      <c r="ID45" s="1"/>
      <c r="IE45" s="1"/>
      <c r="IF45" s="1"/>
      <c r="IG45" s="1"/>
      <c r="IH45" s="1"/>
      <c r="II45" s="1"/>
      <c r="IJ45" s="1"/>
      <c r="IK45" s="1"/>
      <c r="IL45" s="1"/>
      <c r="IM45" s="1"/>
      <c r="IN45" s="1"/>
      <c r="IO45" s="1"/>
      <c r="IP45" s="1"/>
      <c r="IQ45" s="1"/>
      <c r="IR45" s="1"/>
      <c r="IS45" s="1"/>
      <c r="IT45" s="1"/>
      <c r="IU45" s="1"/>
    </row>
    <row r="46" spans="1:255" s="30" customFormat="1" ht="18" customHeight="1" x14ac:dyDescent="0.2">
      <c r="A46" s="3"/>
      <c r="B46" s="200" t="s">
        <v>47</v>
      </c>
      <c r="C46" s="200"/>
      <c r="D46" s="200"/>
      <c r="E46" s="200"/>
      <c r="F46" s="200"/>
      <c r="G46" s="200"/>
      <c r="H46" s="200"/>
      <c r="I46" s="200"/>
      <c r="J46" s="200"/>
      <c r="K46" s="200"/>
      <c r="L46" s="4"/>
      <c r="N46" s="82" t="str">
        <f>IF(J46=5,5.33,IF(J46=4,3.99,IF(J46=3,2.66,IF(J46=2,1.33,IF(J46=1,0,"")))))</f>
        <v/>
      </c>
      <c r="IB46" s="1"/>
      <c r="IC46" s="1"/>
      <c r="ID46" s="1"/>
      <c r="IE46" s="1"/>
      <c r="IF46" s="1"/>
      <c r="IG46" s="1"/>
      <c r="IH46" s="1"/>
      <c r="II46" s="1"/>
      <c r="IJ46" s="1"/>
      <c r="IK46" s="1"/>
      <c r="IL46" s="1"/>
      <c r="IM46" s="1"/>
      <c r="IN46" s="1"/>
      <c r="IO46" s="1"/>
      <c r="IP46" s="1"/>
      <c r="IQ46" s="1"/>
      <c r="IR46" s="1"/>
      <c r="IS46" s="1"/>
      <c r="IT46" s="1"/>
      <c r="IU46" s="1"/>
    </row>
    <row r="47" spans="1:255" s="30" customFormat="1" ht="35.1" customHeight="1" thickBot="1" x14ac:dyDescent="0.25">
      <c r="A47" s="32"/>
      <c r="B47" s="83" t="s">
        <v>48</v>
      </c>
      <c r="C47" s="84"/>
      <c r="D47" s="197" t="str">
        <f>IF(AND(C47&lt;&gt;""),IF(C47="Alta",Tecnicas!B57,IF(C47="Media",Tecnicas!C57,IF(C47="Baja",Tecnicas!D57))),"")</f>
        <v/>
      </c>
      <c r="E47" s="198"/>
      <c r="F47" s="198"/>
      <c r="G47" s="198"/>
      <c r="H47" s="199"/>
      <c r="I47" s="85"/>
      <c r="J47" s="81" t="str">
        <f>IF(B47="","",IF(K47="Siempre",5,IF(K47="Frecuentemente",4,IF(K47="Alguna vez",3,IF(K47="Rara vez",2,IF(K47="Nunca",1,""))))))</f>
        <v/>
      </c>
      <c r="K47" s="86"/>
      <c r="L47" s="25">
        <f>IF(J47&lt;&gt;"",(J47*$H$42/5)*100,0)</f>
        <v>0</v>
      </c>
      <c r="M47" s="30">
        <f>IF(K47&lt;&gt;"",1,0)</f>
        <v>0</v>
      </c>
      <c r="N47" s="82" t="str">
        <f>IF(J47=5,5.34,IF(J47=4,3.99,IF(J47=3,2.66,IF(J47=2,1.33,IF(J47=1,0,"")))))</f>
        <v/>
      </c>
      <c r="IB47" s="1"/>
      <c r="IC47" s="1"/>
      <c r="ID47" s="1"/>
      <c r="IE47" s="1"/>
      <c r="IF47" s="1"/>
      <c r="IG47" s="1"/>
      <c r="IH47" s="1"/>
      <c r="II47" s="1"/>
      <c r="IJ47" s="1"/>
      <c r="IK47" s="1"/>
      <c r="IL47" s="1"/>
      <c r="IM47" s="1"/>
      <c r="IN47" s="1"/>
      <c r="IO47" s="1"/>
      <c r="IP47" s="1"/>
      <c r="IQ47" s="1"/>
      <c r="IR47" s="1"/>
      <c r="IS47" s="1"/>
      <c r="IT47" s="1"/>
      <c r="IU47" s="1"/>
    </row>
    <row r="48" spans="1:255" s="30" customFormat="1" ht="14.25" customHeight="1" thickBot="1" x14ac:dyDescent="0.25">
      <c r="A48" s="32"/>
      <c r="B48" s="170" t="s">
        <v>49</v>
      </c>
      <c r="C48" s="170"/>
      <c r="D48" s="170"/>
      <c r="E48" s="170"/>
      <c r="F48" s="170"/>
      <c r="G48" s="170"/>
      <c r="H48" s="170"/>
      <c r="I48" s="33"/>
      <c r="J48" s="68"/>
      <c r="K48" s="48" t="str">
        <f>CONCATENATE(ROUND(L42,1),"%")</f>
        <v>0%</v>
      </c>
      <c r="L48" s="34"/>
      <c r="M48" s="30">
        <f>SUM(M44:M47)</f>
        <v>0</v>
      </c>
      <c r="N48" s="31"/>
      <c r="IB48" s="1"/>
      <c r="IC48" s="1"/>
      <c r="ID48" s="1"/>
      <c r="IE48" s="1"/>
      <c r="IF48" s="1"/>
      <c r="IG48" s="1"/>
      <c r="IH48" s="1"/>
      <c r="II48" s="1"/>
      <c r="IJ48" s="1"/>
      <c r="IK48" s="1"/>
      <c r="IL48" s="1"/>
      <c r="IM48" s="1"/>
      <c r="IN48" s="1"/>
      <c r="IO48" s="1"/>
      <c r="IP48" s="1"/>
      <c r="IQ48" s="1"/>
      <c r="IR48" s="1"/>
      <c r="IS48" s="1"/>
      <c r="IT48" s="1"/>
      <c r="IU48" s="1"/>
    </row>
    <row r="49" spans="1:255" s="30" customFormat="1" ht="12.95" customHeight="1" x14ac:dyDescent="0.2">
      <c r="A49" s="3"/>
      <c r="B49" s="201" t="s">
        <v>50</v>
      </c>
      <c r="C49" s="201"/>
      <c r="D49" s="201"/>
      <c r="E49" s="201"/>
      <c r="F49" s="201"/>
      <c r="G49" s="201"/>
      <c r="H49" s="201"/>
      <c r="I49" s="201"/>
      <c r="J49" s="201"/>
      <c r="K49" s="201"/>
      <c r="L49" s="4"/>
      <c r="N49" s="31"/>
      <c r="IB49" s="1"/>
      <c r="IC49" s="1"/>
      <c r="ID49" s="1"/>
      <c r="IE49" s="1"/>
      <c r="IF49" s="1"/>
      <c r="IG49" s="1"/>
      <c r="IH49" s="1"/>
      <c r="II49" s="1"/>
      <c r="IJ49" s="1"/>
      <c r="IK49" s="1"/>
      <c r="IL49" s="1"/>
      <c r="IM49" s="1"/>
      <c r="IN49" s="1"/>
      <c r="IO49" s="1"/>
      <c r="IP49" s="1"/>
      <c r="IQ49" s="1"/>
      <c r="IR49" s="1"/>
      <c r="IS49" s="1"/>
      <c r="IT49" s="1"/>
      <c r="IU49" s="1"/>
    </row>
    <row r="50" spans="1:255" s="30" customFormat="1" ht="54" customHeight="1" thickBot="1" x14ac:dyDescent="0.25">
      <c r="A50" s="32"/>
      <c r="B50" s="202"/>
      <c r="C50" s="202"/>
      <c r="D50" s="202"/>
      <c r="E50" s="202"/>
      <c r="F50" s="202"/>
      <c r="G50" s="202"/>
      <c r="H50" s="202"/>
      <c r="I50" s="202"/>
      <c r="J50" s="202"/>
      <c r="K50" s="202"/>
      <c r="L50" s="34"/>
      <c r="N50" s="31"/>
      <c r="IB50" s="1"/>
      <c r="IC50" s="1"/>
      <c r="ID50" s="1"/>
      <c r="IE50" s="1"/>
      <c r="IF50" s="1"/>
      <c r="IG50" s="1"/>
      <c r="IH50" s="1"/>
      <c r="II50" s="1"/>
      <c r="IJ50" s="1"/>
      <c r="IK50" s="1"/>
      <c r="IL50" s="1"/>
      <c r="IM50" s="1"/>
      <c r="IN50" s="1"/>
      <c r="IO50" s="1"/>
      <c r="IP50" s="1"/>
      <c r="IQ50" s="1"/>
      <c r="IR50" s="1"/>
      <c r="IS50" s="1"/>
      <c r="IT50" s="1"/>
      <c r="IU50" s="1"/>
    </row>
    <row r="51" spans="1:255" s="30" customFormat="1" ht="12.95" customHeight="1" x14ac:dyDescent="0.2">
      <c r="A51" s="3"/>
      <c r="B51" s="159" t="s">
        <v>305</v>
      </c>
      <c r="C51" s="159"/>
      <c r="D51" s="159"/>
      <c r="E51" s="159"/>
      <c r="F51" s="159"/>
      <c r="G51" s="159"/>
      <c r="H51" s="159"/>
      <c r="I51" s="159"/>
      <c r="J51" s="159"/>
      <c r="K51" s="159"/>
      <c r="L51" s="4"/>
      <c r="N51" s="31"/>
      <c r="IB51" s="1"/>
      <c r="IC51" s="1"/>
      <c r="ID51" s="1"/>
      <c r="IE51" s="1"/>
      <c r="IF51" s="1"/>
      <c r="IG51" s="1"/>
      <c r="IH51" s="1"/>
      <c r="II51" s="1"/>
      <c r="IJ51" s="1"/>
      <c r="IK51" s="1"/>
      <c r="IL51" s="1"/>
      <c r="IM51" s="1"/>
      <c r="IN51" s="1"/>
      <c r="IO51" s="1"/>
      <c r="IP51" s="1"/>
      <c r="IQ51" s="1"/>
      <c r="IR51" s="1"/>
      <c r="IS51" s="1"/>
      <c r="IT51" s="1"/>
      <c r="IU51" s="1"/>
    </row>
    <row r="52" spans="1:255" s="30" customFormat="1" ht="24.75" customHeight="1" x14ac:dyDescent="0.2">
      <c r="A52" s="3"/>
      <c r="B52" s="203" t="s">
        <v>51</v>
      </c>
      <c r="C52" s="204" t="s">
        <v>42</v>
      </c>
      <c r="D52" s="204"/>
      <c r="E52" s="204"/>
      <c r="F52" s="205" t="s">
        <v>52</v>
      </c>
      <c r="G52" s="206" t="s">
        <v>53</v>
      </c>
      <c r="H52" s="206"/>
      <c r="I52" s="87"/>
      <c r="J52" s="88"/>
      <c r="K52" s="207" t="s">
        <v>54</v>
      </c>
      <c r="L52" s="4"/>
      <c r="N52" s="31"/>
      <c r="IB52" s="1"/>
      <c r="IC52" s="1"/>
      <c r="ID52" s="1"/>
      <c r="IE52" s="1"/>
      <c r="IF52" s="1"/>
      <c r="IG52" s="1"/>
      <c r="IH52" s="1"/>
      <c r="II52" s="1"/>
      <c r="IJ52" s="1"/>
      <c r="IK52" s="1"/>
      <c r="IL52" s="1"/>
      <c r="IM52" s="1"/>
      <c r="IN52" s="1"/>
      <c r="IO52" s="1"/>
      <c r="IP52" s="1"/>
      <c r="IQ52" s="1"/>
      <c r="IR52" s="1"/>
      <c r="IS52" s="1"/>
      <c r="IT52" s="1"/>
      <c r="IU52" s="1"/>
    </row>
    <row r="53" spans="1:255" s="30" customFormat="1" ht="14.25" customHeight="1" x14ac:dyDescent="0.2">
      <c r="A53" s="3"/>
      <c r="B53" s="203"/>
      <c r="C53" s="204"/>
      <c r="D53" s="204"/>
      <c r="E53" s="204"/>
      <c r="F53" s="205"/>
      <c r="G53" s="206"/>
      <c r="H53" s="206"/>
      <c r="I53" s="87"/>
      <c r="J53" s="89"/>
      <c r="K53" s="207"/>
      <c r="L53" s="4"/>
      <c r="N53" s="31"/>
      <c r="IB53" s="1"/>
      <c r="IC53" s="1"/>
      <c r="ID53" s="1"/>
      <c r="IE53" s="1"/>
      <c r="IF53" s="1"/>
      <c r="IG53" s="1"/>
      <c r="IH53" s="1"/>
      <c r="II53" s="1"/>
      <c r="IJ53" s="1"/>
      <c r="IK53" s="1"/>
      <c r="IL53" s="1"/>
      <c r="IM53" s="1"/>
      <c r="IN53" s="1"/>
      <c r="IO53" s="1"/>
      <c r="IP53" s="1"/>
      <c r="IQ53" s="1"/>
      <c r="IR53" s="1"/>
      <c r="IS53" s="1"/>
      <c r="IT53" s="1"/>
      <c r="IU53" s="1"/>
    </row>
    <row r="54" spans="1:255" s="30" customFormat="1" ht="26.25" customHeight="1" x14ac:dyDescent="0.2">
      <c r="A54" s="32"/>
      <c r="B54" s="90" t="s">
        <v>16</v>
      </c>
      <c r="C54" s="208" t="s">
        <v>16</v>
      </c>
      <c r="D54" s="208"/>
      <c r="E54" s="208"/>
      <c r="F54" s="91"/>
      <c r="G54" s="209"/>
      <c r="H54" s="209"/>
      <c r="I54" s="92"/>
      <c r="J54" s="93"/>
      <c r="K54" s="94" t="str">
        <f>IF(AND(B54&lt;&gt;"",C54&lt;&gt;"",F54&lt;&gt;""),IF(AND(G54="SI"),-4,0),"")</f>
        <v/>
      </c>
      <c r="L54" s="34"/>
      <c r="N54" s="31"/>
      <c r="IB54" s="1"/>
      <c r="IC54" s="1"/>
      <c r="ID54" s="1"/>
      <c r="IE54" s="1"/>
      <c r="IF54" s="1"/>
      <c r="IG54" s="1"/>
      <c r="IH54" s="1"/>
      <c r="II54" s="1"/>
      <c r="IJ54" s="1"/>
      <c r="IK54" s="1"/>
      <c r="IL54" s="1"/>
      <c r="IM54" s="1"/>
      <c r="IN54" s="1"/>
      <c r="IO54" s="1"/>
      <c r="IP54" s="1"/>
      <c r="IQ54" s="1"/>
      <c r="IR54" s="1"/>
      <c r="IS54" s="1"/>
      <c r="IT54" s="1"/>
      <c r="IU54" s="1"/>
    </row>
    <row r="55" spans="1:255" s="30" customFormat="1" ht="26.25" customHeight="1" x14ac:dyDescent="0.2">
      <c r="A55" s="32"/>
      <c r="B55" s="90" t="s">
        <v>16</v>
      </c>
      <c r="C55" s="210" t="s">
        <v>16</v>
      </c>
      <c r="D55" s="210"/>
      <c r="E55" s="210"/>
      <c r="F55" s="91"/>
      <c r="G55" s="209"/>
      <c r="H55" s="209"/>
      <c r="I55" s="92"/>
      <c r="J55" s="93"/>
      <c r="K55" s="94" t="str">
        <f>IF(AND(B55&lt;&gt;"",C55&lt;&gt;"",F55&lt;&gt;""),IF(AND(G55="SI"),-4,0),"")</f>
        <v/>
      </c>
      <c r="L55" s="34"/>
      <c r="N55" s="31"/>
      <c r="IB55" s="1"/>
      <c r="IC55" s="1"/>
      <c r="ID55" s="1"/>
      <c r="IE55" s="1"/>
      <c r="IF55" s="1"/>
      <c r="IG55" s="1"/>
      <c r="IH55" s="1"/>
      <c r="II55" s="1"/>
      <c r="IJ55" s="1"/>
      <c r="IK55" s="1"/>
      <c r="IL55" s="1"/>
      <c r="IM55" s="1"/>
      <c r="IN55" s="1"/>
      <c r="IO55" s="1"/>
      <c r="IP55" s="1"/>
      <c r="IQ55" s="1"/>
      <c r="IR55" s="1"/>
      <c r="IS55" s="1"/>
      <c r="IT55" s="1"/>
      <c r="IU55" s="1"/>
    </row>
    <row r="56" spans="1:255" s="30" customFormat="1" ht="26.25" customHeight="1" thickBot="1" x14ac:dyDescent="0.25">
      <c r="A56" s="32"/>
      <c r="B56" s="90"/>
      <c r="C56" s="210"/>
      <c r="D56" s="210"/>
      <c r="E56" s="210"/>
      <c r="F56" s="91"/>
      <c r="G56" s="209"/>
      <c r="H56" s="209"/>
      <c r="I56" s="92"/>
      <c r="J56" s="93"/>
      <c r="K56" s="94" t="str">
        <f>IF(AND(B56&lt;&gt;"",C56&lt;&gt;"",F56&lt;&gt;""),IF(AND(G56="SI"),-4,0),"")</f>
        <v/>
      </c>
      <c r="L56" s="34"/>
      <c r="N56" s="31"/>
      <c r="IB56" s="1"/>
      <c r="IC56" s="1"/>
      <c r="ID56" s="1"/>
      <c r="IE56" s="1"/>
      <c r="IF56" s="1"/>
      <c r="IG56" s="1"/>
      <c r="IH56" s="1"/>
      <c r="II56" s="1"/>
      <c r="IJ56" s="1"/>
      <c r="IK56" s="1"/>
      <c r="IL56" s="1"/>
      <c r="IM56" s="1"/>
      <c r="IN56" s="1"/>
      <c r="IO56" s="1"/>
      <c r="IP56" s="1"/>
      <c r="IQ56" s="1"/>
      <c r="IR56" s="1"/>
      <c r="IS56" s="1"/>
      <c r="IT56" s="1"/>
      <c r="IU56" s="1"/>
    </row>
    <row r="57" spans="1:255" s="30" customFormat="1" ht="12.95" customHeight="1" thickBot="1" x14ac:dyDescent="0.25">
      <c r="A57" s="32"/>
      <c r="B57" s="211" t="s">
        <v>55</v>
      </c>
      <c r="C57" s="211"/>
      <c r="D57" s="211"/>
      <c r="E57" s="211"/>
      <c r="F57" s="211"/>
      <c r="G57" s="211"/>
      <c r="H57" s="211"/>
      <c r="I57" s="95"/>
      <c r="J57" s="96"/>
      <c r="K57" s="97">
        <f>SUM(K54:K56)</f>
        <v>0</v>
      </c>
      <c r="L57" s="34"/>
      <c r="N57" s="31"/>
      <c r="IB57" s="1"/>
      <c r="IC57" s="1"/>
      <c r="ID57" s="1"/>
      <c r="IE57" s="1"/>
      <c r="IF57" s="1"/>
      <c r="IG57" s="1"/>
      <c r="IH57" s="1"/>
      <c r="II57" s="1"/>
      <c r="IJ57" s="1"/>
      <c r="IK57" s="1"/>
      <c r="IL57" s="1"/>
      <c r="IM57" s="1"/>
      <c r="IN57" s="1"/>
      <c r="IO57" s="1"/>
      <c r="IP57" s="1"/>
      <c r="IQ57" s="1"/>
      <c r="IR57" s="1"/>
      <c r="IS57" s="1"/>
      <c r="IT57" s="1"/>
      <c r="IU57" s="1"/>
    </row>
    <row r="58" spans="1:255" s="30" customFormat="1" ht="12.95" customHeight="1" thickBot="1" x14ac:dyDescent="0.25">
      <c r="A58" s="3"/>
      <c r="B58" s="159" t="s">
        <v>56</v>
      </c>
      <c r="C58" s="159"/>
      <c r="D58" s="159"/>
      <c r="E58" s="159"/>
      <c r="F58" s="159"/>
      <c r="G58" s="159"/>
      <c r="H58" s="159"/>
      <c r="I58" s="159"/>
      <c r="J58" s="159"/>
      <c r="K58" s="159"/>
      <c r="L58" s="4"/>
      <c r="N58" s="31"/>
      <c r="IB58" s="1"/>
      <c r="IC58" s="1"/>
      <c r="ID58" s="1"/>
      <c r="IE58" s="1"/>
      <c r="IF58" s="1"/>
      <c r="IG58" s="1"/>
      <c r="IH58" s="1"/>
      <c r="II58" s="1"/>
      <c r="IJ58" s="1"/>
      <c r="IK58" s="1"/>
      <c r="IL58" s="1"/>
      <c r="IM58" s="1"/>
      <c r="IN58" s="1"/>
      <c r="IO58" s="1"/>
      <c r="IP58" s="1"/>
      <c r="IQ58" s="1"/>
      <c r="IR58" s="1"/>
      <c r="IS58" s="1"/>
      <c r="IT58" s="1"/>
      <c r="IU58" s="1"/>
    </row>
    <row r="59" spans="1:255" s="30" customFormat="1" ht="35.25" customHeight="1" x14ac:dyDescent="0.2">
      <c r="A59" s="3"/>
      <c r="B59" s="212" t="s">
        <v>57</v>
      </c>
      <c r="C59" s="212"/>
      <c r="D59" s="212"/>
      <c r="E59" s="212"/>
      <c r="F59" s="212"/>
      <c r="G59" s="212"/>
      <c r="H59" s="212"/>
      <c r="I59" s="212"/>
      <c r="J59" s="212"/>
      <c r="K59" s="98" t="s">
        <v>58</v>
      </c>
      <c r="L59" s="4"/>
      <c r="N59" s="31"/>
      <c r="IB59" s="1"/>
      <c r="IC59" s="1"/>
      <c r="ID59" s="1"/>
      <c r="IE59" s="1"/>
      <c r="IF59" s="1"/>
      <c r="IG59" s="1"/>
      <c r="IH59" s="1"/>
      <c r="II59" s="1"/>
      <c r="IJ59" s="1"/>
      <c r="IK59" s="1"/>
      <c r="IL59" s="1"/>
      <c r="IM59" s="1"/>
      <c r="IN59" s="1"/>
      <c r="IO59" s="1"/>
      <c r="IP59" s="1"/>
      <c r="IQ59" s="1"/>
      <c r="IR59" s="1"/>
      <c r="IS59" s="1"/>
      <c r="IT59" s="1"/>
      <c r="IU59" s="1"/>
    </row>
    <row r="60" spans="1:255" s="30" customFormat="1" ht="12.95" customHeight="1" x14ac:dyDescent="0.2">
      <c r="A60" s="32"/>
      <c r="B60" s="222" t="s">
        <v>59</v>
      </c>
      <c r="C60" s="222"/>
      <c r="D60" s="222"/>
      <c r="E60" s="222"/>
      <c r="F60" s="222"/>
      <c r="G60" s="222"/>
      <c r="H60" s="222"/>
      <c r="I60" s="222"/>
      <c r="J60" s="222"/>
      <c r="K60" s="99">
        <f>R9</f>
        <v>0</v>
      </c>
      <c r="L60" s="34"/>
      <c r="N60" s="31"/>
      <c r="IB60" s="1"/>
      <c r="IC60" s="1"/>
      <c r="ID60" s="1"/>
      <c r="IE60" s="1"/>
      <c r="IF60" s="1"/>
      <c r="IG60" s="1"/>
      <c r="IH60" s="1"/>
      <c r="II60" s="1"/>
      <c r="IJ60" s="1"/>
      <c r="IK60" s="1"/>
      <c r="IL60" s="1"/>
      <c r="IM60" s="1"/>
      <c r="IN60" s="1"/>
      <c r="IO60" s="1"/>
      <c r="IP60" s="1"/>
      <c r="IQ60" s="1"/>
      <c r="IR60" s="1"/>
      <c r="IS60" s="1"/>
      <c r="IT60" s="1"/>
      <c r="IU60" s="1"/>
    </row>
    <row r="61" spans="1:255" s="30" customFormat="1" ht="12.95" customHeight="1" x14ac:dyDescent="0.2">
      <c r="A61" s="32"/>
      <c r="B61" s="223" t="s">
        <v>60</v>
      </c>
      <c r="C61" s="223"/>
      <c r="D61" s="223"/>
      <c r="E61" s="223"/>
      <c r="F61" s="223"/>
      <c r="G61" s="223"/>
      <c r="H61" s="223"/>
      <c r="I61" s="223"/>
      <c r="J61" s="223"/>
      <c r="K61" s="100">
        <f>N16</f>
        <v>0</v>
      </c>
      <c r="L61" s="34"/>
      <c r="N61" s="31"/>
      <c r="IB61" s="1"/>
      <c r="IC61" s="1"/>
      <c r="ID61" s="1"/>
      <c r="IE61" s="1"/>
      <c r="IF61" s="1"/>
      <c r="IG61" s="1"/>
      <c r="IH61" s="1"/>
      <c r="II61" s="1"/>
      <c r="IJ61" s="1"/>
      <c r="IK61" s="1"/>
      <c r="IL61" s="1"/>
      <c r="IM61" s="1"/>
      <c r="IN61" s="1"/>
      <c r="IO61" s="1"/>
      <c r="IP61" s="1"/>
      <c r="IQ61" s="1"/>
      <c r="IR61" s="1"/>
      <c r="IS61" s="1"/>
      <c r="IT61" s="1"/>
      <c r="IU61" s="1"/>
    </row>
    <row r="62" spans="1:255" s="30" customFormat="1" ht="12.95" customHeight="1" x14ac:dyDescent="0.2">
      <c r="A62" s="32"/>
      <c r="B62" s="223" t="s">
        <v>61</v>
      </c>
      <c r="C62" s="223"/>
      <c r="D62" s="223"/>
      <c r="E62" s="223"/>
      <c r="F62" s="223"/>
      <c r="G62" s="223"/>
      <c r="H62" s="223"/>
      <c r="I62" s="223"/>
      <c r="J62" s="223"/>
      <c r="K62" s="100">
        <f>N24</f>
        <v>0</v>
      </c>
      <c r="L62" s="34"/>
      <c r="N62" s="31"/>
      <c r="IB62" s="1"/>
      <c r="IC62" s="1"/>
      <c r="ID62" s="1"/>
      <c r="IE62" s="1"/>
      <c r="IF62" s="1"/>
      <c r="IG62" s="1"/>
      <c r="IH62" s="1"/>
      <c r="II62" s="1"/>
      <c r="IJ62" s="1"/>
      <c r="IK62" s="1"/>
      <c r="IL62" s="1"/>
      <c r="IM62" s="1"/>
      <c r="IN62" s="1"/>
      <c r="IO62" s="1"/>
      <c r="IP62" s="1"/>
      <c r="IQ62" s="1"/>
      <c r="IR62" s="1"/>
      <c r="IS62" s="1"/>
      <c r="IT62" s="1"/>
      <c r="IU62" s="1"/>
    </row>
    <row r="63" spans="1:255" s="30" customFormat="1" ht="12.95" customHeight="1" x14ac:dyDescent="0.2">
      <c r="A63" s="32"/>
      <c r="B63" s="223" t="s">
        <v>62</v>
      </c>
      <c r="C63" s="223"/>
      <c r="D63" s="223"/>
      <c r="E63" s="223"/>
      <c r="F63" s="223"/>
      <c r="G63" s="223"/>
      <c r="H63" s="223"/>
      <c r="I63" s="223"/>
      <c r="J63" s="223"/>
      <c r="K63" s="100">
        <f>L32</f>
        <v>0</v>
      </c>
      <c r="L63" s="34"/>
      <c r="M63" s="101"/>
      <c r="N63" s="31"/>
      <c r="IB63" s="1"/>
      <c r="IC63" s="1"/>
      <c r="ID63" s="1"/>
      <c r="IE63" s="1"/>
      <c r="IF63" s="1"/>
      <c r="IG63" s="1"/>
      <c r="IH63" s="1"/>
      <c r="II63" s="1"/>
      <c r="IJ63" s="1"/>
      <c r="IK63" s="1"/>
      <c r="IL63" s="1"/>
      <c r="IM63" s="1"/>
      <c r="IN63" s="1"/>
      <c r="IO63" s="1"/>
      <c r="IP63" s="1"/>
      <c r="IQ63" s="1"/>
      <c r="IR63" s="1"/>
      <c r="IS63" s="1"/>
      <c r="IT63" s="1"/>
      <c r="IU63" s="1"/>
    </row>
    <row r="64" spans="1:255" s="30" customFormat="1" ht="12.95" customHeight="1" x14ac:dyDescent="0.2">
      <c r="A64" s="32"/>
      <c r="B64" s="223" t="s">
        <v>63</v>
      </c>
      <c r="C64" s="223"/>
      <c r="D64" s="223"/>
      <c r="E64" s="223"/>
      <c r="F64" s="223"/>
      <c r="G64" s="223"/>
      <c r="H64" s="223"/>
      <c r="I64" s="223"/>
      <c r="J64" s="223"/>
      <c r="K64" s="100">
        <f>L42</f>
        <v>0</v>
      </c>
      <c r="L64" s="34"/>
      <c r="N64" s="31"/>
      <c r="IB64" s="1"/>
      <c r="IC64" s="1"/>
      <c r="ID64" s="1"/>
      <c r="IE64" s="1"/>
      <c r="IF64" s="1"/>
      <c r="IG64" s="1"/>
      <c r="IH64" s="1"/>
      <c r="II64" s="1"/>
      <c r="IJ64" s="1"/>
      <c r="IK64" s="1"/>
      <c r="IL64" s="1"/>
      <c r="IM64" s="1"/>
      <c r="IN64" s="1"/>
      <c r="IO64" s="1"/>
      <c r="IP64" s="1"/>
      <c r="IQ64" s="1"/>
      <c r="IR64" s="1"/>
      <c r="IS64" s="1"/>
      <c r="IT64" s="1"/>
      <c r="IU64" s="1"/>
    </row>
    <row r="65" spans="1:255" s="30" customFormat="1" ht="12.95" customHeight="1" thickBot="1" x14ac:dyDescent="0.25">
      <c r="A65" s="32"/>
      <c r="B65" s="224" t="s">
        <v>64</v>
      </c>
      <c r="C65" s="224"/>
      <c r="D65" s="224"/>
      <c r="E65" s="224"/>
      <c r="F65" s="224"/>
      <c r="G65" s="224"/>
      <c r="H65" s="224"/>
      <c r="I65" s="224"/>
      <c r="J65" s="224"/>
      <c r="K65" s="102">
        <f>K57</f>
        <v>0</v>
      </c>
      <c r="L65" s="25">
        <f>SUM(K60:K65)</f>
        <v>0</v>
      </c>
      <c r="N65" s="31"/>
      <c r="IB65" s="1"/>
      <c r="IC65" s="1"/>
      <c r="ID65" s="1"/>
      <c r="IE65" s="1"/>
      <c r="IF65" s="1"/>
      <c r="IG65" s="1"/>
      <c r="IH65" s="1"/>
      <c r="II65" s="1"/>
      <c r="IJ65" s="1"/>
      <c r="IK65" s="1"/>
      <c r="IL65" s="1"/>
      <c r="IM65" s="1"/>
      <c r="IN65" s="1"/>
      <c r="IO65" s="1"/>
      <c r="IP65" s="1"/>
      <c r="IQ65" s="1"/>
      <c r="IR65" s="1"/>
      <c r="IS65" s="1"/>
      <c r="IT65" s="1"/>
      <c r="IU65" s="1"/>
    </row>
    <row r="66" spans="1:255" s="30" customFormat="1" ht="27.75" customHeight="1" thickBot="1" x14ac:dyDescent="0.25">
      <c r="A66" s="32"/>
      <c r="B66" s="225" t="str">
        <f>IF(AND(L65&gt;0,L65&lt;=104),CONCATENATE("TOTAL EVALUACIÓN DEL DESEMPEÑO:     ",ROUND(L65,1)),"PROCESO INCORRECTO")</f>
        <v>PROCESO INCORRECTO</v>
      </c>
      <c r="C66" s="225"/>
      <c r="D66" s="225"/>
      <c r="E66" s="225"/>
      <c r="F66" s="225"/>
      <c r="G66" s="225"/>
      <c r="H66" s="225"/>
      <c r="I66" s="225"/>
      <c r="J66" s="225"/>
      <c r="K66" s="225"/>
      <c r="L66" s="103"/>
      <c r="N66" s="31"/>
      <c r="IB66" s="1"/>
      <c r="IC66" s="1"/>
      <c r="ID66" s="1"/>
      <c r="IE66" s="1"/>
      <c r="IF66" s="1"/>
      <c r="IG66" s="1"/>
      <c r="IH66" s="1"/>
      <c r="II66" s="1"/>
      <c r="IJ66" s="1"/>
      <c r="IK66" s="1"/>
      <c r="IL66" s="1"/>
      <c r="IM66" s="1"/>
      <c r="IN66" s="1"/>
      <c r="IO66" s="1"/>
      <c r="IP66" s="1"/>
      <c r="IQ66" s="1"/>
      <c r="IR66" s="1"/>
      <c r="IS66" s="1"/>
      <c r="IT66" s="1"/>
      <c r="IU66" s="1"/>
    </row>
    <row r="67" spans="1:255" s="30" customFormat="1" ht="28.5" customHeight="1" thickBot="1" x14ac:dyDescent="0.25">
      <c r="A67" s="32"/>
      <c r="B67" s="226" t="str">
        <f>IF(AND(ROUND(L65,1)&gt;=95,ROUND(L65,1)&lt;=104),"EXCELENTE",IF(AND(ROUND(L65,1)&gt;=90,ROUND(L65,1)&lt;=94.99),"MUY BUENO",IF(AND(ROUND(L65,1)&gt;=80,ROUND(L65,1)&lt;=89.9),"SATISFACTORIO",IF(AND(ROUND(L65,1)&gt;=70,ROUND(L65,1)&lt;=79.99),"REGULAR",IF(AND(ROUND(L65,1)&gt;0,ROUND(L65,1)&lt;=60.99),"INSUFICIENTE","PROCESO INCORRECTO")))))</f>
        <v>PROCESO INCORRECTO</v>
      </c>
      <c r="C67" s="226"/>
      <c r="D67" s="226"/>
      <c r="E67" s="226"/>
      <c r="F67" s="226"/>
      <c r="G67" s="226"/>
      <c r="H67" s="226"/>
      <c r="I67" s="226"/>
      <c r="J67" s="226"/>
      <c r="K67" s="226"/>
      <c r="L67" s="34"/>
      <c r="N67" s="31"/>
      <c r="IB67" s="1"/>
      <c r="IC67" s="1"/>
      <c r="ID67" s="1"/>
      <c r="IE67" s="1"/>
      <c r="IF67" s="1"/>
      <c r="IG67" s="1"/>
      <c r="IH67" s="1"/>
      <c r="II67" s="1"/>
      <c r="IJ67" s="1"/>
      <c r="IK67" s="1"/>
      <c r="IL67" s="1"/>
      <c r="IM67" s="1"/>
      <c r="IN67" s="1"/>
      <c r="IO67" s="1"/>
      <c r="IP67" s="1"/>
      <c r="IQ67" s="1"/>
      <c r="IR67" s="1"/>
      <c r="IS67" s="1"/>
      <c r="IT67" s="1"/>
      <c r="IU67" s="1"/>
    </row>
    <row r="68" spans="1:255" s="30" customFormat="1" ht="21.75" customHeight="1" x14ac:dyDescent="0.2">
      <c r="A68" s="3"/>
      <c r="B68" s="227" t="s">
        <v>65</v>
      </c>
      <c r="C68" s="227"/>
      <c r="D68" s="227"/>
      <c r="E68" s="227"/>
      <c r="F68" s="227"/>
      <c r="G68" s="227"/>
      <c r="H68" s="227"/>
      <c r="I68" s="227"/>
      <c r="J68" s="227"/>
      <c r="K68" s="227"/>
      <c r="L68" s="4"/>
      <c r="N68" s="31"/>
      <c r="IB68" s="1"/>
      <c r="IC68" s="1"/>
      <c r="ID68" s="1"/>
      <c r="IE68" s="1"/>
      <c r="IF68" s="1"/>
      <c r="IG68" s="1"/>
      <c r="IH68" s="1"/>
      <c r="II68" s="1"/>
      <c r="IJ68" s="1"/>
      <c r="IK68" s="1"/>
      <c r="IL68" s="1"/>
      <c r="IM68" s="1"/>
      <c r="IN68" s="1"/>
      <c r="IO68" s="1"/>
      <c r="IP68" s="1"/>
      <c r="IQ68" s="1"/>
      <c r="IR68" s="1"/>
      <c r="IS68" s="1"/>
      <c r="IT68" s="1"/>
      <c r="IU68" s="1"/>
    </row>
    <row r="69" spans="1:255" s="30" customFormat="1" ht="12.95" customHeight="1" x14ac:dyDescent="0.2">
      <c r="A69" s="32"/>
      <c r="B69" s="214" t="s">
        <v>66</v>
      </c>
      <c r="C69" s="214"/>
      <c r="D69" s="214"/>
      <c r="E69" s="214"/>
      <c r="F69" s="104"/>
      <c r="G69" s="215">
        <f>D5</f>
        <v>0</v>
      </c>
      <c r="H69" s="215"/>
      <c r="I69" s="215"/>
      <c r="J69" s="215"/>
      <c r="K69" s="105"/>
      <c r="L69" s="34"/>
      <c r="N69" s="31"/>
      <c r="IB69" s="1"/>
      <c r="IC69" s="1"/>
      <c r="ID69" s="1"/>
      <c r="IE69" s="1"/>
      <c r="IF69" s="1"/>
      <c r="IG69" s="1"/>
      <c r="IH69" s="1"/>
      <c r="II69" s="1"/>
      <c r="IJ69" s="1"/>
      <c r="IK69" s="1"/>
      <c r="IL69" s="1"/>
      <c r="IM69" s="1"/>
      <c r="IN69" s="1"/>
      <c r="IO69" s="1"/>
      <c r="IP69" s="1"/>
      <c r="IQ69" s="1"/>
      <c r="IR69" s="1"/>
      <c r="IS69" s="1"/>
      <c r="IT69" s="1"/>
      <c r="IU69" s="1"/>
    </row>
    <row r="70" spans="1:255" s="30" customFormat="1" ht="29.25" customHeight="1" x14ac:dyDescent="0.2">
      <c r="A70" s="19"/>
      <c r="B70" s="216" t="s">
        <v>67</v>
      </c>
      <c r="C70" s="216"/>
      <c r="D70" s="216"/>
      <c r="E70" s="216"/>
      <c r="F70" s="216"/>
      <c r="G70" s="216"/>
      <c r="H70" s="216"/>
      <c r="I70" s="216"/>
      <c r="J70" s="216"/>
      <c r="K70" s="216"/>
      <c r="L70" s="34"/>
      <c r="N70" s="31"/>
      <c r="IB70" s="1"/>
      <c r="IC70" s="1"/>
      <c r="ID70" s="1"/>
      <c r="IE70" s="1"/>
      <c r="IF70" s="1"/>
      <c r="IG70" s="1"/>
      <c r="IH70" s="1"/>
      <c r="II70" s="1"/>
      <c r="IJ70" s="1"/>
      <c r="IK70" s="1"/>
      <c r="IL70" s="1"/>
      <c r="IM70" s="1"/>
      <c r="IN70" s="1"/>
      <c r="IO70" s="1"/>
      <c r="IP70" s="1"/>
      <c r="IQ70" s="1"/>
      <c r="IR70" s="1"/>
      <c r="IS70" s="1"/>
      <c r="IT70" s="1"/>
      <c r="IU70" s="1"/>
    </row>
    <row r="71" spans="1:255" s="30" customFormat="1" ht="55.15" customHeight="1" x14ac:dyDescent="0.2">
      <c r="A71" s="19"/>
      <c r="B71" s="106"/>
      <c r="C71" s="107"/>
      <c r="D71" s="107"/>
      <c r="E71" s="107"/>
      <c r="F71" s="107"/>
      <c r="G71" s="107"/>
      <c r="H71" s="107"/>
      <c r="I71" s="107"/>
      <c r="J71" s="107"/>
      <c r="K71" s="108"/>
      <c r="L71" s="34"/>
      <c r="N71" s="31"/>
      <c r="IB71" s="1"/>
      <c r="IC71" s="1"/>
      <c r="ID71" s="1"/>
      <c r="IE71" s="1"/>
      <c r="IF71" s="1"/>
      <c r="IG71" s="1"/>
      <c r="IH71" s="1"/>
      <c r="II71" s="1"/>
      <c r="IJ71" s="1"/>
      <c r="IK71" s="1"/>
      <c r="IL71" s="1"/>
      <c r="IM71" s="1"/>
      <c r="IN71" s="1"/>
      <c r="IO71" s="1"/>
      <c r="IP71" s="1"/>
      <c r="IQ71" s="1"/>
      <c r="IR71" s="1"/>
      <c r="IS71" s="1"/>
      <c r="IT71" s="1"/>
      <c r="IU71" s="1"/>
    </row>
    <row r="72" spans="1:255" s="30" customFormat="1" ht="12.75" customHeight="1" x14ac:dyDescent="0.2">
      <c r="A72" s="19"/>
      <c r="B72" s="217">
        <f>D3</f>
        <v>0</v>
      </c>
      <c r="C72" s="217"/>
      <c r="D72" s="217"/>
      <c r="E72" s="140"/>
      <c r="F72" s="218">
        <f>H5</f>
        <v>0</v>
      </c>
      <c r="G72" s="219"/>
      <c r="H72" s="219"/>
      <c r="I72" s="219"/>
      <c r="J72" s="219"/>
      <c r="K72" s="219"/>
      <c r="L72" s="34"/>
      <c r="N72" s="31"/>
      <c r="IB72" s="1"/>
      <c r="IC72" s="1"/>
      <c r="ID72" s="1"/>
      <c r="IE72" s="1"/>
      <c r="IF72" s="1"/>
      <c r="IG72" s="1"/>
      <c r="IH72" s="1"/>
      <c r="II72" s="1"/>
      <c r="IJ72" s="1"/>
      <c r="IK72" s="1"/>
      <c r="IL72" s="1"/>
      <c r="IM72" s="1"/>
      <c r="IN72" s="1"/>
      <c r="IO72" s="1"/>
      <c r="IP72" s="1"/>
      <c r="IQ72" s="1"/>
      <c r="IR72" s="1"/>
      <c r="IS72" s="1"/>
      <c r="IT72" s="1"/>
      <c r="IU72" s="1"/>
    </row>
    <row r="73" spans="1:255" s="30" customFormat="1" ht="12.75" customHeight="1" x14ac:dyDescent="0.2">
      <c r="A73" s="19"/>
      <c r="B73" s="220" t="s">
        <v>302</v>
      </c>
      <c r="C73" s="220"/>
      <c r="D73" s="220">
        <f>H5</f>
        <v>0</v>
      </c>
      <c r="E73" s="110"/>
      <c r="F73" s="221" t="s">
        <v>303</v>
      </c>
      <c r="G73" s="221"/>
      <c r="H73" s="221"/>
      <c r="I73" s="221"/>
      <c r="J73" s="221"/>
      <c r="K73" s="221"/>
      <c r="L73" s="34"/>
      <c r="N73" s="31"/>
      <c r="IB73" s="1"/>
      <c r="IC73" s="1"/>
      <c r="ID73" s="1"/>
      <c r="IE73" s="1"/>
      <c r="IF73" s="1"/>
      <c r="IG73" s="1"/>
      <c r="IH73" s="1"/>
      <c r="II73" s="1"/>
      <c r="IJ73" s="1"/>
      <c r="IK73" s="1"/>
      <c r="IL73" s="1"/>
      <c r="IM73" s="1"/>
      <c r="IN73" s="1"/>
      <c r="IO73" s="1"/>
      <c r="IP73" s="1"/>
      <c r="IQ73" s="1"/>
      <c r="IR73" s="1"/>
      <c r="IS73" s="1"/>
      <c r="IT73" s="1"/>
      <c r="IU73" s="1"/>
    </row>
    <row r="74" spans="1:255" s="30" customFormat="1" ht="12.75" customHeight="1" x14ac:dyDescent="0.2">
      <c r="A74" s="19"/>
      <c r="B74" s="139"/>
      <c r="C74" s="139"/>
      <c r="D74" s="139"/>
      <c r="E74" s="110"/>
      <c r="F74" s="139"/>
      <c r="G74" s="139"/>
      <c r="H74" s="139"/>
      <c r="I74" s="111"/>
      <c r="J74" s="111"/>
      <c r="K74" s="111"/>
      <c r="L74" s="34"/>
      <c r="N74" s="31"/>
      <c r="IB74" s="1"/>
      <c r="IC74" s="1"/>
      <c r="ID74" s="1"/>
      <c r="IE74" s="1"/>
      <c r="IF74" s="1"/>
      <c r="IG74" s="1"/>
      <c r="IH74" s="1"/>
      <c r="II74" s="1"/>
      <c r="IJ74" s="1"/>
      <c r="IK74" s="1"/>
      <c r="IL74" s="1"/>
      <c r="IM74" s="1"/>
      <c r="IN74" s="1"/>
      <c r="IO74" s="1"/>
      <c r="IP74" s="1"/>
      <c r="IQ74" s="1"/>
      <c r="IR74" s="1"/>
      <c r="IS74" s="1"/>
      <c r="IT74" s="1"/>
      <c r="IU74" s="1"/>
    </row>
    <row r="75" spans="1:255" s="30" customFormat="1" ht="12.75" customHeight="1" x14ac:dyDescent="0.2">
      <c r="A75" s="19"/>
      <c r="B75" s="139"/>
      <c r="C75" s="139"/>
      <c r="D75" s="139"/>
      <c r="E75" s="110"/>
      <c r="F75" s="139"/>
      <c r="G75" s="139"/>
      <c r="H75" s="139"/>
      <c r="I75" s="111"/>
      <c r="J75" s="111"/>
      <c r="K75" s="111"/>
      <c r="L75" s="34"/>
      <c r="N75" s="31"/>
      <c r="IB75" s="1"/>
      <c r="IC75" s="1"/>
      <c r="ID75" s="1"/>
      <c r="IE75" s="1"/>
      <c r="IF75" s="1"/>
      <c r="IG75" s="1"/>
      <c r="IH75" s="1"/>
      <c r="II75" s="1"/>
      <c r="IJ75" s="1"/>
      <c r="IK75" s="1"/>
      <c r="IL75" s="1"/>
      <c r="IM75" s="1"/>
      <c r="IN75" s="1"/>
      <c r="IO75" s="1"/>
      <c r="IP75" s="1"/>
      <c r="IQ75" s="1"/>
      <c r="IR75" s="1"/>
      <c r="IS75" s="1"/>
      <c r="IT75" s="1"/>
      <c r="IU75" s="1"/>
    </row>
    <row r="76" spans="1:255" s="30" customFormat="1" ht="12.75" customHeight="1" x14ac:dyDescent="0.2">
      <c r="A76" s="19"/>
      <c r="B76" s="139"/>
      <c r="C76" s="139"/>
      <c r="D76" s="139"/>
      <c r="E76" s="110"/>
      <c r="F76" s="139"/>
      <c r="G76" s="139"/>
      <c r="H76" s="139"/>
      <c r="I76" s="139"/>
      <c r="J76" s="139"/>
      <c r="K76" s="111"/>
      <c r="L76" s="34"/>
      <c r="N76" s="31"/>
      <c r="IB76" s="1"/>
      <c r="IC76" s="1"/>
      <c r="ID76" s="1"/>
      <c r="IE76" s="1"/>
      <c r="IF76" s="1"/>
      <c r="IG76" s="1"/>
      <c r="IH76" s="1"/>
      <c r="II76" s="1"/>
      <c r="IJ76" s="1"/>
      <c r="IK76" s="1"/>
      <c r="IL76" s="1"/>
      <c r="IM76" s="1"/>
      <c r="IN76" s="1"/>
      <c r="IO76" s="1"/>
      <c r="IP76" s="1"/>
      <c r="IQ76" s="1"/>
      <c r="IR76" s="1"/>
      <c r="IS76" s="1"/>
      <c r="IT76" s="1"/>
      <c r="IU76" s="1"/>
    </row>
    <row r="77" spans="1:255" s="30" customFormat="1" ht="12.75" customHeight="1" x14ac:dyDescent="0.2">
      <c r="A77" s="19"/>
      <c r="B77" s="139"/>
      <c r="C77" s="139"/>
      <c r="D77" s="139"/>
      <c r="E77" s="110"/>
      <c r="F77" s="139"/>
      <c r="G77" s="139"/>
      <c r="H77" s="139"/>
      <c r="I77" s="139"/>
      <c r="J77" s="139"/>
      <c r="K77" s="111"/>
      <c r="L77" s="34"/>
      <c r="N77" s="31"/>
      <c r="IB77" s="1"/>
      <c r="IC77" s="1"/>
      <c r="ID77" s="1"/>
      <c r="IE77" s="1"/>
      <c r="IF77" s="1"/>
      <c r="IG77" s="1"/>
      <c r="IH77" s="1"/>
      <c r="II77" s="1"/>
      <c r="IJ77" s="1"/>
      <c r="IK77" s="1"/>
      <c r="IL77" s="1"/>
      <c r="IM77" s="1"/>
      <c r="IN77" s="1"/>
      <c r="IO77" s="1"/>
      <c r="IP77" s="1"/>
      <c r="IQ77" s="1"/>
      <c r="IR77" s="1"/>
      <c r="IS77" s="1"/>
      <c r="IT77" s="1"/>
      <c r="IU77" s="1"/>
    </row>
    <row r="78" spans="1:255" s="30" customFormat="1" ht="12.75" customHeight="1" x14ac:dyDescent="0.2">
      <c r="A78" s="19"/>
      <c r="B78" s="139"/>
      <c r="C78" s="139"/>
      <c r="D78" s="139"/>
      <c r="E78" s="110"/>
      <c r="F78" s="139"/>
      <c r="G78" s="139"/>
      <c r="H78" s="139"/>
      <c r="I78" s="139"/>
      <c r="J78" s="139"/>
      <c r="K78" s="111"/>
      <c r="L78" s="34"/>
      <c r="N78" s="31"/>
      <c r="IB78" s="1"/>
      <c r="IC78" s="1"/>
      <c r="ID78" s="1"/>
      <c r="IE78" s="1"/>
      <c r="IF78" s="1"/>
      <c r="IG78" s="1"/>
      <c r="IH78" s="1"/>
      <c r="II78" s="1"/>
      <c r="IJ78" s="1"/>
      <c r="IK78" s="1"/>
      <c r="IL78" s="1"/>
      <c r="IM78" s="1"/>
      <c r="IN78" s="1"/>
      <c r="IO78" s="1"/>
      <c r="IP78" s="1"/>
      <c r="IQ78" s="1"/>
      <c r="IR78" s="1"/>
      <c r="IS78" s="1"/>
      <c r="IT78" s="1"/>
      <c r="IU78" s="1"/>
    </row>
    <row r="79" spans="1:255" s="30" customFormat="1" ht="12.75" customHeight="1" x14ac:dyDescent="0.2">
      <c r="A79" s="19"/>
      <c r="B79" s="109"/>
      <c r="C79" s="110"/>
      <c r="D79" s="110"/>
      <c r="E79" s="110"/>
      <c r="F79" s="110"/>
      <c r="G79" s="112"/>
      <c r="H79" s="112"/>
      <c r="I79" s="112"/>
      <c r="J79" s="112"/>
      <c r="K79" s="113"/>
      <c r="L79" s="34"/>
      <c r="N79" s="31"/>
      <c r="IB79" s="1"/>
      <c r="IC79" s="1"/>
      <c r="ID79" s="1"/>
      <c r="IE79" s="1"/>
      <c r="IF79" s="1"/>
      <c r="IG79" s="1"/>
      <c r="IH79" s="1"/>
      <c r="II79" s="1"/>
      <c r="IJ79" s="1"/>
      <c r="IK79" s="1"/>
      <c r="IL79" s="1"/>
      <c r="IM79" s="1"/>
      <c r="IN79" s="1"/>
      <c r="IO79" s="1"/>
      <c r="IP79" s="1"/>
      <c r="IQ79" s="1"/>
      <c r="IR79" s="1"/>
      <c r="IS79" s="1"/>
      <c r="IT79" s="1"/>
      <c r="IU79" s="1"/>
    </row>
    <row r="80" spans="1:255" s="30" customFormat="1" ht="14.25" customHeight="1" x14ac:dyDescent="0.2">
      <c r="A80" s="32"/>
      <c r="B80" s="114" t="s">
        <v>16</v>
      </c>
      <c r="C80" s="115"/>
      <c r="D80" s="115"/>
      <c r="E80" s="115"/>
      <c r="F80" s="116"/>
      <c r="G80" s="213" t="s">
        <v>16</v>
      </c>
      <c r="H80" s="213"/>
      <c r="I80" s="213"/>
      <c r="J80" s="213"/>
      <c r="K80" s="213"/>
      <c r="L80" s="34"/>
      <c r="N80" s="31"/>
      <c r="IB80" s="1"/>
      <c r="IC80" s="1"/>
      <c r="ID80" s="1"/>
      <c r="IE80" s="1"/>
      <c r="IF80" s="1"/>
      <c r="IG80" s="1"/>
      <c r="IH80" s="1"/>
      <c r="II80" s="1"/>
      <c r="IJ80" s="1"/>
      <c r="IK80" s="1"/>
      <c r="IL80" s="1"/>
      <c r="IM80" s="1"/>
      <c r="IN80" s="1"/>
      <c r="IO80" s="1"/>
      <c r="IP80" s="1"/>
      <c r="IQ80" s="1"/>
      <c r="IR80" s="1"/>
      <c r="IS80" s="1"/>
      <c r="IT80" s="1"/>
      <c r="IU80" s="1"/>
    </row>
    <row r="81" spans="14:255" s="30" customFormat="1" ht="12.95" customHeight="1" x14ac:dyDescent="0.2">
      <c r="N81" s="31"/>
      <c r="IB81" s="1"/>
      <c r="IC81" s="1"/>
      <c r="ID81" s="1"/>
      <c r="IE81" s="1"/>
      <c r="IF81" s="1"/>
      <c r="IG81" s="1"/>
      <c r="IH81" s="1"/>
      <c r="II81" s="1"/>
      <c r="IJ81" s="1"/>
      <c r="IK81" s="1"/>
      <c r="IL81" s="1"/>
      <c r="IM81" s="1"/>
      <c r="IN81" s="1"/>
      <c r="IO81" s="1"/>
      <c r="IP81" s="1"/>
      <c r="IQ81" s="1"/>
      <c r="IR81" s="1"/>
      <c r="IS81" s="1"/>
      <c r="IT81" s="1"/>
      <c r="IU81" s="1"/>
    </row>
    <row r="82" spans="14:255" s="30" customFormat="1" ht="12.95" customHeight="1" x14ac:dyDescent="0.2">
      <c r="N82" s="31"/>
      <c r="IB82" s="1"/>
      <c r="IC82" s="1"/>
      <c r="ID82" s="1"/>
      <c r="IE82" s="1"/>
      <c r="IF82" s="1"/>
      <c r="IG82" s="1"/>
      <c r="IH82" s="1"/>
      <c r="II82" s="1"/>
      <c r="IJ82" s="1"/>
      <c r="IK82" s="1"/>
      <c r="IL82" s="1"/>
      <c r="IM82" s="1"/>
      <c r="IN82" s="1"/>
      <c r="IO82" s="1"/>
      <c r="IP82" s="1"/>
      <c r="IQ82" s="1"/>
      <c r="IR82" s="1"/>
      <c r="IS82" s="1"/>
      <c r="IT82" s="1"/>
      <c r="IU82" s="1"/>
    </row>
    <row r="83" spans="14:255" s="30" customFormat="1" ht="12.95" customHeight="1" x14ac:dyDescent="0.2">
      <c r="N83" s="31"/>
      <c r="IB83" s="1"/>
      <c r="IC83" s="1"/>
      <c r="ID83" s="1"/>
      <c r="IE83" s="1"/>
      <c r="IF83" s="1"/>
      <c r="IG83" s="1"/>
      <c r="IH83" s="1"/>
      <c r="II83" s="1"/>
      <c r="IJ83" s="1"/>
      <c r="IK83" s="1"/>
      <c r="IL83" s="1"/>
      <c r="IM83" s="1"/>
      <c r="IN83" s="1"/>
      <c r="IO83" s="1"/>
      <c r="IP83" s="1"/>
      <c r="IQ83" s="1"/>
      <c r="IR83" s="1"/>
      <c r="IS83" s="1"/>
      <c r="IT83" s="1"/>
      <c r="IU83" s="1"/>
    </row>
    <row r="84" spans="14:255" s="30" customFormat="1" ht="12.95" customHeight="1" x14ac:dyDescent="0.2">
      <c r="N84" s="31"/>
      <c r="IB84" s="1"/>
      <c r="IC84" s="1"/>
      <c r="ID84" s="1"/>
      <c r="IE84" s="1"/>
      <c r="IF84" s="1"/>
      <c r="IG84" s="1"/>
      <c r="IH84" s="1"/>
      <c r="II84" s="1"/>
      <c r="IJ84" s="1"/>
      <c r="IK84" s="1"/>
      <c r="IL84" s="1"/>
      <c r="IM84" s="1"/>
      <c r="IN84" s="1"/>
      <c r="IO84" s="1"/>
      <c r="IP84" s="1"/>
      <c r="IQ84" s="1"/>
      <c r="IR84" s="1"/>
      <c r="IS84" s="1"/>
      <c r="IT84" s="1"/>
      <c r="IU84" s="1"/>
    </row>
    <row r="85" spans="14:255" s="30" customFormat="1" ht="12.95" customHeight="1" x14ac:dyDescent="0.2">
      <c r="N85" s="31"/>
      <c r="IB85" s="1"/>
      <c r="IC85" s="1"/>
      <c r="ID85" s="1"/>
      <c r="IE85" s="1"/>
      <c r="IF85" s="1"/>
      <c r="IG85" s="1"/>
      <c r="IH85" s="1"/>
      <c r="II85" s="1"/>
      <c r="IJ85" s="1"/>
      <c r="IK85" s="1"/>
      <c r="IL85" s="1"/>
      <c r="IM85" s="1"/>
      <c r="IN85" s="1"/>
      <c r="IO85" s="1"/>
      <c r="IP85" s="1"/>
      <c r="IQ85" s="1"/>
      <c r="IR85" s="1"/>
      <c r="IS85" s="1"/>
      <c r="IT85" s="1"/>
      <c r="IU85" s="1"/>
    </row>
    <row r="86" spans="14:255" s="30" customFormat="1" ht="12.95" customHeight="1" x14ac:dyDescent="0.2">
      <c r="N86" s="31"/>
      <c r="IB86" s="1"/>
      <c r="IC86" s="1"/>
      <c r="ID86" s="1"/>
      <c r="IE86" s="1"/>
      <c r="IF86" s="1"/>
      <c r="IG86" s="1"/>
      <c r="IH86" s="1"/>
      <c r="II86" s="1"/>
      <c r="IJ86" s="1"/>
      <c r="IK86" s="1"/>
      <c r="IL86" s="1"/>
      <c r="IM86" s="1"/>
      <c r="IN86" s="1"/>
      <c r="IO86" s="1"/>
      <c r="IP86" s="1"/>
      <c r="IQ86" s="1"/>
      <c r="IR86" s="1"/>
      <c r="IS86" s="1"/>
      <c r="IT86" s="1"/>
      <c r="IU86" s="1"/>
    </row>
    <row r="87" spans="14:255" s="30" customFormat="1" ht="12.95" customHeight="1" x14ac:dyDescent="0.2">
      <c r="N87" s="31"/>
      <c r="IB87" s="1"/>
      <c r="IC87" s="1"/>
      <c r="ID87" s="1"/>
      <c r="IE87" s="1"/>
      <c r="IF87" s="1"/>
      <c r="IG87" s="1"/>
      <c r="IH87" s="1"/>
      <c r="II87" s="1"/>
      <c r="IJ87" s="1"/>
      <c r="IK87" s="1"/>
      <c r="IL87" s="1"/>
      <c r="IM87" s="1"/>
      <c r="IN87" s="1"/>
      <c r="IO87" s="1"/>
      <c r="IP87" s="1"/>
      <c r="IQ87" s="1"/>
      <c r="IR87" s="1"/>
      <c r="IS87" s="1"/>
      <c r="IT87" s="1"/>
      <c r="IU87" s="1"/>
    </row>
    <row r="88" spans="14:255" s="30" customFormat="1" ht="12.95" customHeight="1" x14ac:dyDescent="0.2">
      <c r="N88" s="31"/>
      <c r="IB88" s="1"/>
      <c r="IC88" s="1"/>
      <c r="ID88" s="1"/>
      <c r="IE88" s="1"/>
      <c r="IF88" s="1"/>
      <c r="IG88" s="1"/>
      <c r="IH88" s="1"/>
      <c r="II88" s="1"/>
      <c r="IJ88" s="1"/>
      <c r="IK88" s="1"/>
      <c r="IL88" s="1"/>
      <c r="IM88" s="1"/>
      <c r="IN88" s="1"/>
      <c r="IO88" s="1"/>
      <c r="IP88" s="1"/>
      <c r="IQ88" s="1"/>
      <c r="IR88" s="1"/>
      <c r="IS88" s="1"/>
      <c r="IT88" s="1"/>
      <c r="IU88" s="1"/>
    </row>
    <row r="89" spans="14:255" s="30" customFormat="1" ht="12.95" customHeight="1" x14ac:dyDescent="0.2">
      <c r="N89" s="31"/>
      <c r="IB89" s="1"/>
      <c r="IC89" s="1"/>
      <c r="ID89" s="1"/>
      <c r="IE89" s="1"/>
      <c r="IF89" s="1"/>
      <c r="IG89" s="1"/>
      <c r="IH89" s="1"/>
      <c r="II89" s="1"/>
      <c r="IJ89" s="1"/>
      <c r="IK89" s="1"/>
      <c r="IL89" s="1"/>
      <c r="IM89" s="1"/>
      <c r="IN89" s="1"/>
      <c r="IO89" s="1"/>
      <c r="IP89" s="1"/>
      <c r="IQ89" s="1"/>
      <c r="IR89" s="1"/>
      <c r="IS89" s="1"/>
      <c r="IT89" s="1"/>
      <c r="IU89" s="1"/>
    </row>
    <row r="90" spans="14:255" s="30" customFormat="1" ht="12.95" customHeight="1" x14ac:dyDescent="0.2">
      <c r="N90" s="31"/>
      <c r="IB90" s="1"/>
      <c r="IC90" s="1"/>
      <c r="ID90" s="1"/>
      <c r="IE90" s="1"/>
      <c r="IF90" s="1"/>
      <c r="IG90" s="1"/>
      <c r="IH90" s="1"/>
      <c r="II90" s="1"/>
      <c r="IJ90" s="1"/>
      <c r="IK90" s="1"/>
      <c r="IL90" s="1"/>
      <c r="IM90" s="1"/>
      <c r="IN90" s="1"/>
      <c r="IO90" s="1"/>
      <c r="IP90" s="1"/>
      <c r="IQ90" s="1"/>
      <c r="IR90" s="1"/>
      <c r="IS90" s="1"/>
      <c r="IT90" s="1"/>
      <c r="IU90" s="1"/>
    </row>
    <row r="91" spans="14:255" s="30" customFormat="1" ht="12.95" customHeight="1" x14ac:dyDescent="0.2">
      <c r="N91" s="31"/>
      <c r="IB91" s="1"/>
      <c r="IC91" s="1"/>
      <c r="ID91" s="1"/>
      <c r="IE91" s="1"/>
      <c r="IF91" s="1"/>
      <c r="IG91" s="1"/>
      <c r="IH91" s="1"/>
      <c r="II91" s="1"/>
      <c r="IJ91" s="1"/>
      <c r="IK91" s="1"/>
      <c r="IL91" s="1"/>
      <c r="IM91" s="1"/>
      <c r="IN91" s="1"/>
      <c r="IO91" s="1"/>
      <c r="IP91" s="1"/>
      <c r="IQ91" s="1"/>
      <c r="IR91" s="1"/>
      <c r="IS91" s="1"/>
      <c r="IT91" s="1"/>
      <c r="IU91" s="1"/>
    </row>
    <row r="92" spans="14:255" s="30" customFormat="1" ht="12.95" customHeight="1" x14ac:dyDescent="0.2">
      <c r="N92" s="31"/>
      <c r="IB92" s="1"/>
      <c r="IC92" s="1"/>
      <c r="ID92" s="1"/>
      <c r="IE92" s="1"/>
      <c r="IF92" s="1"/>
      <c r="IG92" s="1"/>
      <c r="IH92" s="1"/>
      <c r="II92" s="1"/>
      <c r="IJ92" s="1"/>
      <c r="IK92" s="1"/>
      <c r="IL92" s="1"/>
      <c r="IM92" s="1"/>
      <c r="IN92" s="1"/>
      <c r="IO92" s="1"/>
      <c r="IP92" s="1"/>
      <c r="IQ92" s="1"/>
      <c r="IR92" s="1"/>
      <c r="IS92" s="1"/>
      <c r="IT92" s="1"/>
      <c r="IU92" s="1"/>
    </row>
    <row r="93" spans="14:255" s="30" customFormat="1" ht="12.95" customHeight="1" x14ac:dyDescent="0.2">
      <c r="N93" s="31"/>
      <c r="IB93" s="1"/>
      <c r="IC93" s="1"/>
      <c r="ID93" s="1"/>
      <c r="IE93" s="1"/>
      <c r="IF93" s="1"/>
      <c r="IG93" s="1"/>
      <c r="IH93" s="1"/>
      <c r="II93" s="1"/>
      <c r="IJ93" s="1"/>
      <c r="IK93" s="1"/>
      <c r="IL93" s="1"/>
      <c r="IM93" s="1"/>
      <c r="IN93" s="1"/>
      <c r="IO93" s="1"/>
      <c r="IP93" s="1"/>
      <c r="IQ93" s="1"/>
      <c r="IR93" s="1"/>
      <c r="IS93" s="1"/>
      <c r="IT93" s="1"/>
      <c r="IU93" s="1"/>
    </row>
    <row r="94" spans="14:255" s="30" customFormat="1" ht="12.95" customHeight="1" x14ac:dyDescent="0.2">
      <c r="N94" s="31"/>
      <c r="IB94" s="1"/>
      <c r="IC94" s="1"/>
      <c r="ID94" s="1"/>
      <c r="IE94" s="1"/>
      <c r="IF94" s="1"/>
      <c r="IG94" s="1"/>
      <c r="IH94" s="1"/>
      <c r="II94" s="1"/>
      <c r="IJ94" s="1"/>
      <c r="IK94" s="1"/>
      <c r="IL94" s="1"/>
      <c r="IM94" s="1"/>
      <c r="IN94" s="1"/>
      <c r="IO94" s="1"/>
      <c r="IP94" s="1"/>
      <c r="IQ94" s="1"/>
      <c r="IR94" s="1"/>
      <c r="IS94" s="1"/>
      <c r="IT94" s="1"/>
      <c r="IU94" s="1"/>
    </row>
    <row r="95" spans="14:255" s="30" customFormat="1" ht="12.95" customHeight="1" x14ac:dyDescent="0.2">
      <c r="N95" s="31"/>
      <c r="IB95" s="1"/>
      <c r="IC95" s="1"/>
      <c r="ID95" s="1"/>
      <c r="IE95" s="1"/>
      <c r="IF95" s="1"/>
      <c r="IG95" s="1"/>
      <c r="IH95" s="1"/>
      <c r="II95" s="1"/>
      <c r="IJ95" s="1"/>
      <c r="IK95" s="1"/>
      <c r="IL95" s="1"/>
      <c r="IM95" s="1"/>
      <c r="IN95" s="1"/>
      <c r="IO95" s="1"/>
      <c r="IP95" s="1"/>
      <c r="IQ95" s="1"/>
      <c r="IR95" s="1"/>
      <c r="IS95" s="1"/>
      <c r="IT95" s="1"/>
      <c r="IU95" s="1"/>
    </row>
    <row r="96" spans="14:255" s="30" customFormat="1" ht="12.95" customHeight="1" x14ac:dyDescent="0.2">
      <c r="N96" s="31"/>
      <c r="IB96" s="1"/>
      <c r="IC96" s="1"/>
      <c r="ID96" s="1"/>
      <c r="IE96" s="1"/>
      <c r="IF96" s="1"/>
      <c r="IG96" s="1"/>
      <c r="IH96" s="1"/>
      <c r="II96" s="1"/>
      <c r="IJ96" s="1"/>
      <c r="IK96" s="1"/>
      <c r="IL96" s="1"/>
      <c r="IM96" s="1"/>
      <c r="IN96" s="1"/>
      <c r="IO96" s="1"/>
      <c r="IP96" s="1"/>
      <c r="IQ96" s="1"/>
      <c r="IR96" s="1"/>
      <c r="IS96" s="1"/>
      <c r="IT96" s="1"/>
      <c r="IU96" s="1"/>
    </row>
    <row r="97" spans="14:255" s="30" customFormat="1" ht="12.95" customHeight="1" x14ac:dyDescent="0.2">
      <c r="N97" s="31"/>
      <c r="IB97" s="1"/>
      <c r="IC97" s="1"/>
      <c r="ID97" s="1"/>
      <c r="IE97" s="1"/>
      <c r="IF97" s="1"/>
      <c r="IG97" s="1"/>
      <c r="IH97" s="1"/>
      <c r="II97" s="1"/>
      <c r="IJ97" s="1"/>
      <c r="IK97" s="1"/>
      <c r="IL97" s="1"/>
      <c r="IM97" s="1"/>
      <c r="IN97" s="1"/>
      <c r="IO97" s="1"/>
      <c r="IP97" s="1"/>
      <c r="IQ97" s="1"/>
      <c r="IR97" s="1"/>
      <c r="IS97" s="1"/>
      <c r="IT97" s="1"/>
      <c r="IU97" s="1"/>
    </row>
    <row r="98" spans="14:255" s="30" customFormat="1" ht="12.95" customHeight="1" x14ac:dyDescent="0.2">
      <c r="N98" s="31"/>
      <c r="IB98" s="1"/>
      <c r="IC98" s="1"/>
      <c r="ID98" s="1"/>
      <c r="IE98" s="1"/>
      <c r="IF98" s="1"/>
      <c r="IG98" s="1"/>
      <c r="IH98" s="1"/>
      <c r="II98" s="1"/>
      <c r="IJ98" s="1"/>
      <c r="IK98" s="1"/>
      <c r="IL98" s="1"/>
      <c r="IM98" s="1"/>
      <c r="IN98" s="1"/>
      <c r="IO98" s="1"/>
      <c r="IP98" s="1"/>
      <c r="IQ98" s="1"/>
      <c r="IR98" s="1"/>
      <c r="IS98" s="1"/>
      <c r="IT98" s="1"/>
      <c r="IU98" s="1"/>
    </row>
    <row r="99" spans="14:255" s="30" customFormat="1" ht="12.95" customHeight="1" x14ac:dyDescent="0.2">
      <c r="N99" s="31"/>
      <c r="IB99" s="1"/>
      <c r="IC99" s="1"/>
      <c r="ID99" s="1"/>
      <c r="IE99" s="1"/>
      <c r="IF99" s="1"/>
      <c r="IG99" s="1"/>
      <c r="IH99" s="1"/>
      <c r="II99" s="1"/>
      <c r="IJ99" s="1"/>
      <c r="IK99" s="1"/>
      <c r="IL99" s="1"/>
      <c r="IM99" s="1"/>
      <c r="IN99" s="1"/>
      <c r="IO99" s="1"/>
      <c r="IP99" s="1"/>
      <c r="IQ99" s="1"/>
      <c r="IR99" s="1"/>
      <c r="IS99" s="1"/>
      <c r="IT99" s="1"/>
      <c r="IU99" s="1"/>
    </row>
    <row r="100" spans="14:255" s="30" customFormat="1" ht="12.95" customHeight="1" x14ac:dyDescent="0.2">
      <c r="N100" s="31"/>
      <c r="IB100" s="1"/>
      <c r="IC100" s="1"/>
      <c r="ID100" s="1"/>
      <c r="IE100" s="1"/>
      <c r="IF100" s="1"/>
      <c r="IG100" s="1"/>
      <c r="IH100" s="1"/>
      <c r="II100" s="1"/>
      <c r="IJ100" s="1"/>
      <c r="IK100" s="1"/>
      <c r="IL100" s="1"/>
      <c r="IM100" s="1"/>
      <c r="IN100" s="1"/>
      <c r="IO100" s="1"/>
      <c r="IP100" s="1"/>
      <c r="IQ100" s="1"/>
      <c r="IR100" s="1"/>
      <c r="IS100" s="1"/>
      <c r="IT100" s="1"/>
      <c r="IU100" s="1"/>
    </row>
    <row r="101" spans="14:255" s="30" customFormat="1" ht="12.95" customHeight="1" x14ac:dyDescent="0.2">
      <c r="N101" s="31"/>
      <c r="IB101" s="1"/>
      <c r="IC101" s="1"/>
      <c r="ID101" s="1"/>
      <c r="IE101" s="1"/>
      <c r="IF101" s="1"/>
      <c r="IG101" s="1"/>
      <c r="IH101" s="1"/>
      <c r="II101" s="1"/>
      <c r="IJ101" s="1"/>
      <c r="IK101" s="1"/>
      <c r="IL101" s="1"/>
      <c r="IM101" s="1"/>
      <c r="IN101" s="1"/>
      <c r="IO101" s="1"/>
      <c r="IP101" s="1"/>
      <c r="IQ101" s="1"/>
      <c r="IR101" s="1"/>
      <c r="IS101" s="1"/>
      <c r="IT101" s="1"/>
      <c r="IU101" s="1"/>
    </row>
    <row r="102" spans="14:255" s="30" customFormat="1" ht="12.95" customHeight="1" x14ac:dyDescent="0.2">
      <c r="N102" s="31"/>
      <c r="IB102" s="1"/>
      <c r="IC102" s="1"/>
      <c r="ID102" s="1"/>
      <c r="IE102" s="1"/>
      <c r="IF102" s="1"/>
      <c r="IG102" s="1"/>
      <c r="IH102" s="1"/>
      <c r="II102" s="1"/>
      <c r="IJ102" s="1"/>
      <c r="IK102" s="1"/>
      <c r="IL102" s="1"/>
      <c r="IM102" s="1"/>
      <c r="IN102" s="1"/>
      <c r="IO102" s="1"/>
      <c r="IP102" s="1"/>
      <c r="IQ102" s="1"/>
      <c r="IR102" s="1"/>
      <c r="IS102" s="1"/>
      <c r="IT102" s="1"/>
      <c r="IU102" s="1"/>
    </row>
    <row r="103" spans="14:255" s="30" customFormat="1" ht="12.95" customHeight="1" x14ac:dyDescent="0.2">
      <c r="N103" s="31"/>
      <c r="IB103" s="1"/>
      <c r="IC103" s="1"/>
      <c r="ID103" s="1"/>
      <c r="IE103" s="1"/>
      <c r="IF103" s="1"/>
      <c r="IG103" s="1"/>
      <c r="IH103" s="1"/>
      <c r="II103" s="1"/>
      <c r="IJ103" s="1"/>
      <c r="IK103" s="1"/>
      <c r="IL103" s="1"/>
      <c r="IM103" s="1"/>
      <c r="IN103" s="1"/>
      <c r="IO103" s="1"/>
      <c r="IP103" s="1"/>
      <c r="IQ103" s="1"/>
      <c r="IR103" s="1"/>
      <c r="IS103" s="1"/>
      <c r="IT103" s="1"/>
      <c r="IU103" s="1"/>
    </row>
    <row r="104" spans="14:255" s="30" customFormat="1" ht="12.95" customHeight="1" x14ac:dyDescent="0.2">
      <c r="N104" s="31"/>
      <c r="IB104" s="1"/>
      <c r="IC104" s="1"/>
      <c r="ID104" s="1"/>
      <c r="IE104" s="1"/>
      <c r="IF104" s="1"/>
      <c r="IG104" s="1"/>
      <c r="IH104" s="1"/>
      <c r="II104" s="1"/>
      <c r="IJ104" s="1"/>
      <c r="IK104" s="1"/>
      <c r="IL104" s="1"/>
      <c r="IM104" s="1"/>
      <c r="IN104" s="1"/>
      <c r="IO104" s="1"/>
      <c r="IP104" s="1"/>
      <c r="IQ104" s="1"/>
      <c r="IR104" s="1"/>
      <c r="IS104" s="1"/>
      <c r="IT104" s="1"/>
      <c r="IU104" s="1"/>
    </row>
    <row r="105" spans="14:255" s="30" customFormat="1" ht="12.95" customHeight="1" x14ac:dyDescent="0.2">
      <c r="N105" s="31"/>
      <c r="IB105" s="1"/>
      <c r="IC105" s="1"/>
      <c r="ID105" s="1"/>
      <c r="IE105" s="1"/>
      <c r="IF105" s="1"/>
      <c r="IG105" s="1"/>
      <c r="IH105" s="1"/>
      <c r="II105" s="1"/>
      <c r="IJ105" s="1"/>
      <c r="IK105" s="1"/>
      <c r="IL105" s="1"/>
      <c r="IM105" s="1"/>
      <c r="IN105" s="1"/>
      <c r="IO105" s="1"/>
      <c r="IP105" s="1"/>
      <c r="IQ105" s="1"/>
      <c r="IR105" s="1"/>
      <c r="IS105" s="1"/>
      <c r="IT105" s="1"/>
      <c r="IU105" s="1"/>
    </row>
    <row r="106" spans="14:255" s="30" customFormat="1" ht="12.95" customHeight="1" x14ac:dyDescent="0.2">
      <c r="N106" s="31"/>
      <c r="IB106" s="1"/>
      <c r="IC106" s="1"/>
      <c r="ID106" s="1"/>
      <c r="IE106" s="1"/>
      <c r="IF106" s="1"/>
      <c r="IG106" s="1"/>
      <c r="IH106" s="1"/>
      <c r="II106" s="1"/>
      <c r="IJ106" s="1"/>
      <c r="IK106" s="1"/>
      <c r="IL106" s="1"/>
      <c r="IM106" s="1"/>
      <c r="IN106" s="1"/>
      <c r="IO106" s="1"/>
      <c r="IP106" s="1"/>
      <c r="IQ106" s="1"/>
      <c r="IR106" s="1"/>
      <c r="IS106" s="1"/>
      <c r="IT106" s="1"/>
      <c r="IU106" s="1"/>
    </row>
    <row r="107" spans="14:255" s="30" customFormat="1" ht="12.95" customHeight="1" x14ac:dyDescent="0.2">
      <c r="N107" s="31"/>
      <c r="IB107" s="1"/>
      <c r="IC107" s="1"/>
      <c r="ID107" s="1"/>
      <c r="IE107" s="1"/>
      <c r="IF107" s="1"/>
      <c r="IG107" s="1"/>
      <c r="IH107" s="1"/>
      <c r="II107" s="1"/>
      <c r="IJ107" s="1"/>
      <c r="IK107" s="1"/>
      <c r="IL107" s="1"/>
      <c r="IM107" s="1"/>
      <c r="IN107" s="1"/>
      <c r="IO107" s="1"/>
      <c r="IP107" s="1"/>
      <c r="IQ107" s="1"/>
      <c r="IR107" s="1"/>
      <c r="IS107" s="1"/>
      <c r="IT107" s="1"/>
      <c r="IU107" s="1"/>
    </row>
    <row r="108" spans="14:255" s="30" customFormat="1" ht="12.95" customHeight="1" x14ac:dyDescent="0.2">
      <c r="N108" s="31"/>
      <c r="IB108" s="1"/>
      <c r="IC108" s="1"/>
      <c r="ID108" s="1"/>
      <c r="IE108" s="1"/>
      <c r="IF108" s="1"/>
      <c r="IG108" s="1"/>
      <c r="IH108" s="1"/>
      <c r="II108" s="1"/>
      <c r="IJ108" s="1"/>
      <c r="IK108" s="1"/>
      <c r="IL108" s="1"/>
      <c r="IM108" s="1"/>
      <c r="IN108" s="1"/>
      <c r="IO108" s="1"/>
      <c r="IP108" s="1"/>
      <c r="IQ108" s="1"/>
      <c r="IR108" s="1"/>
      <c r="IS108" s="1"/>
      <c r="IT108" s="1"/>
      <c r="IU108" s="1"/>
    </row>
    <row r="109" spans="14:255" s="30" customFormat="1" ht="12.95" customHeight="1" x14ac:dyDescent="0.2">
      <c r="N109" s="31"/>
      <c r="IB109" s="1"/>
      <c r="IC109" s="1"/>
      <c r="ID109" s="1"/>
      <c r="IE109" s="1"/>
      <c r="IF109" s="1"/>
      <c r="IG109" s="1"/>
      <c r="IH109" s="1"/>
      <c r="II109" s="1"/>
      <c r="IJ109" s="1"/>
      <c r="IK109" s="1"/>
      <c r="IL109" s="1"/>
      <c r="IM109" s="1"/>
      <c r="IN109" s="1"/>
      <c r="IO109" s="1"/>
      <c r="IP109" s="1"/>
      <c r="IQ109" s="1"/>
      <c r="IR109" s="1"/>
      <c r="IS109" s="1"/>
      <c r="IT109" s="1"/>
      <c r="IU109" s="1"/>
    </row>
    <row r="110" spans="14:255" s="30" customFormat="1" ht="12.95" customHeight="1" x14ac:dyDescent="0.2">
      <c r="N110" s="31"/>
      <c r="IB110" s="1"/>
      <c r="IC110" s="1"/>
      <c r="ID110" s="1"/>
      <c r="IE110" s="1"/>
      <c r="IF110" s="1"/>
      <c r="IG110" s="1"/>
      <c r="IH110" s="1"/>
      <c r="II110" s="1"/>
      <c r="IJ110" s="1"/>
      <c r="IK110" s="1"/>
      <c r="IL110" s="1"/>
      <c r="IM110" s="1"/>
      <c r="IN110" s="1"/>
      <c r="IO110" s="1"/>
      <c r="IP110" s="1"/>
      <c r="IQ110" s="1"/>
      <c r="IR110" s="1"/>
      <c r="IS110" s="1"/>
      <c r="IT110" s="1"/>
      <c r="IU110" s="1"/>
    </row>
    <row r="111" spans="14:255" s="30" customFormat="1" ht="12.95" customHeight="1" x14ac:dyDescent="0.2">
      <c r="N111" s="31"/>
      <c r="IB111" s="1"/>
      <c r="IC111" s="1"/>
      <c r="ID111" s="1"/>
      <c r="IE111" s="1"/>
      <c r="IF111" s="1"/>
      <c r="IG111" s="1"/>
      <c r="IH111" s="1"/>
      <c r="II111" s="1"/>
      <c r="IJ111" s="1"/>
      <c r="IK111" s="1"/>
      <c r="IL111" s="1"/>
      <c r="IM111" s="1"/>
      <c r="IN111" s="1"/>
      <c r="IO111" s="1"/>
      <c r="IP111" s="1"/>
      <c r="IQ111" s="1"/>
      <c r="IR111" s="1"/>
      <c r="IS111" s="1"/>
      <c r="IT111" s="1"/>
      <c r="IU111" s="1"/>
    </row>
    <row r="112" spans="14:255" s="30" customFormat="1" ht="12.95" customHeight="1" x14ac:dyDescent="0.2">
      <c r="N112" s="31"/>
      <c r="IB112" s="1"/>
      <c r="IC112" s="1"/>
      <c r="ID112" s="1"/>
      <c r="IE112" s="1"/>
      <c r="IF112" s="1"/>
      <c r="IG112" s="1"/>
      <c r="IH112" s="1"/>
      <c r="II112" s="1"/>
      <c r="IJ112" s="1"/>
      <c r="IK112" s="1"/>
      <c r="IL112" s="1"/>
      <c r="IM112" s="1"/>
      <c r="IN112" s="1"/>
      <c r="IO112" s="1"/>
      <c r="IP112" s="1"/>
      <c r="IQ112" s="1"/>
      <c r="IR112" s="1"/>
      <c r="IS112" s="1"/>
      <c r="IT112" s="1"/>
      <c r="IU112" s="1"/>
    </row>
    <row r="113" spans="14:255" s="30" customFormat="1" ht="12.95" customHeight="1" x14ac:dyDescent="0.2">
      <c r="N113" s="31"/>
      <c r="IB113" s="1"/>
      <c r="IC113" s="1"/>
      <c r="ID113" s="1"/>
      <c r="IE113" s="1"/>
      <c r="IF113" s="1"/>
      <c r="IG113" s="1"/>
      <c r="IH113" s="1"/>
      <c r="II113" s="1"/>
      <c r="IJ113" s="1"/>
      <c r="IK113" s="1"/>
      <c r="IL113" s="1"/>
      <c r="IM113" s="1"/>
      <c r="IN113" s="1"/>
      <c r="IO113" s="1"/>
      <c r="IP113" s="1"/>
      <c r="IQ113" s="1"/>
      <c r="IR113" s="1"/>
      <c r="IS113" s="1"/>
      <c r="IT113" s="1"/>
      <c r="IU113" s="1"/>
    </row>
    <row r="114" spans="14:255" s="30" customFormat="1" ht="12.95" customHeight="1" x14ac:dyDescent="0.2">
      <c r="N114" s="31"/>
      <c r="IB114" s="1"/>
      <c r="IC114" s="1"/>
      <c r="ID114" s="1"/>
      <c r="IE114" s="1"/>
      <c r="IF114" s="1"/>
      <c r="IG114" s="1"/>
      <c r="IH114" s="1"/>
      <c r="II114" s="1"/>
      <c r="IJ114" s="1"/>
      <c r="IK114" s="1"/>
      <c r="IL114" s="1"/>
      <c r="IM114" s="1"/>
      <c r="IN114" s="1"/>
      <c r="IO114" s="1"/>
      <c r="IP114" s="1"/>
      <c r="IQ114" s="1"/>
      <c r="IR114" s="1"/>
      <c r="IS114" s="1"/>
      <c r="IT114" s="1"/>
      <c r="IU114" s="1"/>
    </row>
    <row r="115" spans="14:255" s="30" customFormat="1" ht="12.95" customHeight="1" x14ac:dyDescent="0.2">
      <c r="N115" s="31"/>
      <c r="IB115" s="1"/>
      <c r="IC115" s="1"/>
      <c r="ID115" s="1"/>
      <c r="IE115" s="1"/>
      <c r="IF115" s="1"/>
      <c r="IG115" s="1"/>
      <c r="IH115" s="1"/>
      <c r="II115" s="1"/>
      <c r="IJ115" s="1"/>
      <c r="IK115" s="1"/>
      <c r="IL115" s="1"/>
      <c r="IM115" s="1"/>
      <c r="IN115" s="1"/>
      <c r="IO115" s="1"/>
      <c r="IP115" s="1"/>
      <c r="IQ115" s="1"/>
      <c r="IR115" s="1"/>
      <c r="IS115" s="1"/>
      <c r="IT115" s="1"/>
      <c r="IU115" s="1"/>
    </row>
    <row r="116" spans="14:255" s="30" customFormat="1" ht="12.95" customHeight="1" x14ac:dyDescent="0.2">
      <c r="N116" s="31"/>
      <c r="IB116" s="1"/>
      <c r="IC116" s="1"/>
      <c r="ID116" s="1"/>
      <c r="IE116" s="1"/>
      <c r="IF116" s="1"/>
      <c r="IG116" s="1"/>
      <c r="IH116" s="1"/>
      <c r="II116" s="1"/>
      <c r="IJ116" s="1"/>
      <c r="IK116" s="1"/>
      <c r="IL116" s="1"/>
      <c r="IM116" s="1"/>
      <c r="IN116" s="1"/>
      <c r="IO116" s="1"/>
      <c r="IP116" s="1"/>
      <c r="IQ116" s="1"/>
      <c r="IR116" s="1"/>
      <c r="IS116" s="1"/>
      <c r="IT116" s="1"/>
      <c r="IU116" s="1"/>
    </row>
    <row r="117" spans="14:255" s="30" customFormat="1" ht="12.95" customHeight="1" x14ac:dyDescent="0.2">
      <c r="N117" s="31"/>
      <c r="IB117" s="1"/>
      <c r="IC117" s="1"/>
      <c r="ID117" s="1"/>
      <c r="IE117" s="1"/>
      <c r="IF117" s="1"/>
      <c r="IG117" s="1"/>
      <c r="IH117" s="1"/>
      <c r="II117" s="1"/>
      <c r="IJ117" s="1"/>
      <c r="IK117" s="1"/>
      <c r="IL117" s="1"/>
      <c r="IM117" s="1"/>
      <c r="IN117" s="1"/>
      <c r="IO117" s="1"/>
      <c r="IP117" s="1"/>
      <c r="IQ117" s="1"/>
      <c r="IR117" s="1"/>
      <c r="IS117" s="1"/>
      <c r="IT117" s="1"/>
      <c r="IU117" s="1"/>
    </row>
    <row r="118" spans="14:255" s="30" customFormat="1" ht="12.95" customHeight="1" x14ac:dyDescent="0.2">
      <c r="N118" s="31"/>
      <c r="IB118" s="1"/>
      <c r="IC118" s="1"/>
      <c r="ID118" s="1"/>
      <c r="IE118" s="1"/>
      <c r="IF118" s="1"/>
      <c r="IG118" s="1"/>
      <c r="IH118" s="1"/>
      <c r="II118" s="1"/>
      <c r="IJ118" s="1"/>
      <c r="IK118" s="1"/>
      <c r="IL118" s="1"/>
      <c r="IM118" s="1"/>
      <c r="IN118" s="1"/>
      <c r="IO118" s="1"/>
      <c r="IP118" s="1"/>
      <c r="IQ118" s="1"/>
      <c r="IR118" s="1"/>
      <c r="IS118" s="1"/>
      <c r="IT118" s="1"/>
      <c r="IU118" s="1"/>
    </row>
    <row r="119" spans="14:255" s="30" customFormat="1" ht="12.95" customHeight="1" x14ac:dyDescent="0.2">
      <c r="N119" s="31"/>
      <c r="IB119" s="1"/>
      <c r="IC119" s="1"/>
      <c r="ID119" s="1"/>
      <c r="IE119" s="1"/>
      <c r="IF119" s="1"/>
      <c r="IG119" s="1"/>
      <c r="IH119" s="1"/>
      <c r="II119" s="1"/>
      <c r="IJ119" s="1"/>
      <c r="IK119" s="1"/>
      <c r="IL119" s="1"/>
      <c r="IM119" s="1"/>
      <c r="IN119" s="1"/>
      <c r="IO119" s="1"/>
      <c r="IP119" s="1"/>
      <c r="IQ119" s="1"/>
      <c r="IR119" s="1"/>
      <c r="IS119" s="1"/>
      <c r="IT119" s="1"/>
      <c r="IU119" s="1"/>
    </row>
    <row r="120" spans="14:255" s="30" customFormat="1" ht="12.95" customHeight="1" x14ac:dyDescent="0.2">
      <c r="N120" s="31"/>
      <c r="IB120" s="1"/>
      <c r="IC120" s="1"/>
      <c r="ID120" s="1"/>
      <c r="IE120" s="1"/>
      <c r="IF120" s="1"/>
      <c r="IG120" s="1"/>
      <c r="IH120" s="1"/>
      <c r="II120" s="1"/>
      <c r="IJ120" s="1"/>
      <c r="IK120" s="1"/>
      <c r="IL120" s="1"/>
      <c r="IM120" s="1"/>
      <c r="IN120" s="1"/>
      <c r="IO120" s="1"/>
      <c r="IP120" s="1"/>
      <c r="IQ120" s="1"/>
      <c r="IR120" s="1"/>
      <c r="IS120" s="1"/>
      <c r="IT120" s="1"/>
      <c r="IU120" s="1"/>
    </row>
    <row r="121" spans="14:255" s="30" customFormat="1" ht="12.95" customHeight="1" x14ac:dyDescent="0.2">
      <c r="N121" s="31"/>
      <c r="IB121" s="1"/>
      <c r="IC121" s="1"/>
      <c r="ID121" s="1"/>
      <c r="IE121" s="1"/>
      <c r="IF121" s="1"/>
      <c r="IG121" s="1"/>
      <c r="IH121" s="1"/>
      <c r="II121" s="1"/>
      <c r="IJ121" s="1"/>
      <c r="IK121" s="1"/>
      <c r="IL121" s="1"/>
      <c r="IM121" s="1"/>
      <c r="IN121" s="1"/>
      <c r="IO121" s="1"/>
      <c r="IP121" s="1"/>
      <c r="IQ121" s="1"/>
      <c r="IR121" s="1"/>
      <c r="IS121" s="1"/>
      <c r="IT121" s="1"/>
      <c r="IU121" s="1"/>
    </row>
    <row r="122" spans="14:255" s="30" customFormat="1" ht="12.95" customHeight="1" x14ac:dyDescent="0.2">
      <c r="N122" s="31"/>
      <c r="IB122" s="1"/>
      <c r="IC122" s="1"/>
      <c r="ID122" s="1"/>
      <c r="IE122" s="1"/>
      <c r="IF122" s="1"/>
      <c r="IG122" s="1"/>
      <c r="IH122" s="1"/>
      <c r="II122" s="1"/>
      <c r="IJ122" s="1"/>
      <c r="IK122" s="1"/>
      <c r="IL122" s="1"/>
      <c r="IM122" s="1"/>
      <c r="IN122" s="1"/>
      <c r="IO122" s="1"/>
      <c r="IP122" s="1"/>
      <c r="IQ122" s="1"/>
      <c r="IR122" s="1"/>
      <c r="IS122" s="1"/>
      <c r="IT122" s="1"/>
      <c r="IU122" s="1"/>
    </row>
    <row r="123" spans="14:255" s="30" customFormat="1" ht="12.95" customHeight="1" x14ac:dyDescent="0.2">
      <c r="N123" s="31"/>
      <c r="IB123" s="1"/>
      <c r="IC123" s="1"/>
      <c r="ID123" s="1"/>
      <c r="IE123" s="1"/>
      <c r="IF123" s="1"/>
      <c r="IG123" s="1"/>
      <c r="IH123" s="1"/>
      <c r="II123" s="1"/>
      <c r="IJ123" s="1"/>
      <c r="IK123" s="1"/>
      <c r="IL123" s="1"/>
      <c r="IM123" s="1"/>
      <c r="IN123" s="1"/>
      <c r="IO123" s="1"/>
      <c r="IP123" s="1"/>
      <c r="IQ123" s="1"/>
      <c r="IR123" s="1"/>
      <c r="IS123" s="1"/>
      <c r="IT123" s="1"/>
      <c r="IU123" s="1"/>
    </row>
    <row r="124" spans="14:255" s="30" customFormat="1" ht="12.95" customHeight="1" x14ac:dyDescent="0.2">
      <c r="N124" s="31"/>
      <c r="IB124" s="1"/>
      <c r="IC124" s="1"/>
      <c r="ID124" s="1"/>
      <c r="IE124" s="1"/>
      <c r="IF124" s="1"/>
      <c r="IG124" s="1"/>
      <c r="IH124" s="1"/>
      <c r="II124" s="1"/>
      <c r="IJ124" s="1"/>
      <c r="IK124" s="1"/>
      <c r="IL124" s="1"/>
      <c r="IM124" s="1"/>
      <c r="IN124" s="1"/>
      <c r="IO124" s="1"/>
      <c r="IP124" s="1"/>
      <c r="IQ124" s="1"/>
      <c r="IR124" s="1"/>
      <c r="IS124" s="1"/>
      <c r="IT124" s="1"/>
      <c r="IU124" s="1"/>
    </row>
    <row r="125" spans="14:255" s="30" customFormat="1" ht="12.95" customHeight="1" x14ac:dyDescent="0.2">
      <c r="N125" s="31"/>
      <c r="IB125" s="1"/>
      <c r="IC125" s="1"/>
      <c r="ID125" s="1"/>
      <c r="IE125" s="1"/>
      <c r="IF125" s="1"/>
      <c r="IG125" s="1"/>
      <c r="IH125" s="1"/>
      <c r="II125" s="1"/>
      <c r="IJ125" s="1"/>
      <c r="IK125" s="1"/>
      <c r="IL125" s="1"/>
      <c r="IM125" s="1"/>
      <c r="IN125" s="1"/>
      <c r="IO125" s="1"/>
      <c r="IP125" s="1"/>
      <c r="IQ125" s="1"/>
      <c r="IR125" s="1"/>
      <c r="IS125" s="1"/>
      <c r="IT125" s="1"/>
      <c r="IU125" s="1"/>
    </row>
    <row r="126" spans="14:255" s="30" customFormat="1" ht="12.95" customHeight="1" x14ac:dyDescent="0.2">
      <c r="N126" s="31"/>
      <c r="IB126" s="1"/>
      <c r="IC126" s="1"/>
      <c r="ID126" s="1"/>
      <c r="IE126" s="1"/>
      <c r="IF126" s="1"/>
      <c r="IG126" s="1"/>
      <c r="IH126" s="1"/>
      <c r="II126" s="1"/>
      <c r="IJ126" s="1"/>
      <c r="IK126" s="1"/>
      <c r="IL126" s="1"/>
      <c r="IM126" s="1"/>
      <c r="IN126" s="1"/>
      <c r="IO126" s="1"/>
      <c r="IP126" s="1"/>
      <c r="IQ126" s="1"/>
      <c r="IR126" s="1"/>
      <c r="IS126" s="1"/>
      <c r="IT126" s="1"/>
      <c r="IU126" s="1"/>
    </row>
    <row r="127" spans="14:255" s="30" customFormat="1" ht="12.95" customHeight="1" x14ac:dyDescent="0.2">
      <c r="N127" s="31"/>
      <c r="IB127" s="1"/>
      <c r="IC127" s="1"/>
      <c r="ID127" s="1"/>
      <c r="IE127" s="1"/>
      <c r="IF127" s="1"/>
      <c r="IG127" s="1"/>
      <c r="IH127" s="1"/>
      <c r="II127" s="1"/>
      <c r="IJ127" s="1"/>
      <c r="IK127" s="1"/>
      <c r="IL127" s="1"/>
      <c r="IM127" s="1"/>
      <c r="IN127" s="1"/>
      <c r="IO127" s="1"/>
      <c r="IP127" s="1"/>
      <c r="IQ127" s="1"/>
      <c r="IR127" s="1"/>
      <c r="IS127" s="1"/>
      <c r="IT127" s="1"/>
      <c r="IU127" s="1"/>
    </row>
    <row r="128" spans="14:255" s="30" customFormat="1" ht="12.95" customHeight="1" x14ac:dyDescent="0.2">
      <c r="N128" s="31"/>
      <c r="IB128" s="1"/>
      <c r="IC128" s="1"/>
      <c r="ID128" s="1"/>
      <c r="IE128" s="1"/>
      <c r="IF128" s="1"/>
      <c r="IG128" s="1"/>
      <c r="IH128" s="1"/>
      <c r="II128" s="1"/>
      <c r="IJ128" s="1"/>
      <c r="IK128" s="1"/>
      <c r="IL128" s="1"/>
      <c r="IM128" s="1"/>
      <c r="IN128" s="1"/>
      <c r="IO128" s="1"/>
      <c r="IP128" s="1"/>
      <c r="IQ128" s="1"/>
      <c r="IR128" s="1"/>
      <c r="IS128" s="1"/>
      <c r="IT128" s="1"/>
      <c r="IU128" s="1"/>
    </row>
    <row r="129" spans="14:255" s="30" customFormat="1" ht="12.95" customHeight="1" x14ac:dyDescent="0.2">
      <c r="N129" s="31"/>
      <c r="IB129" s="1"/>
      <c r="IC129" s="1"/>
      <c r="ID129" s="1"/>
      <c r="IE129" s="1"/>
      <c r="IF129" s="1"/>
      <c r="IG129" s="1"/>
      <c r="IH129" s="1"/>
      <c r="II129" s="1"/>
      <c r="IJ129" s="1"/>
      <c r="IK129" s="1"/>
      <c r="IL129" s="1"/>
      <c r="IM129" s="1"/>
      <c r="IN129" s="1"/>
      <c r="IO129" s="1"/>
      <c r="IP129" s="1"/>
      <c r="IQ129" s="1"/>
      <c r="IR129" s="1"/>
      <c r="IS129" s="1"/>
      <c r="IT129" s="1"/>
      <c r="IU129" s="1"/>
    </row>
    <row r="130" spans="14:255" s="30" customFormat="1" ht="12.95" customHeight="1" x14ac:dyDescent="0.2">
      <c r="N130" s="31"/>
      <c r="IB130" s="1"/>
      <c r="IC130" s="1"/>
      <c r="ID130" s="1"/>
      <c r="IE130" s="1"/>
      <c r="IF130" s="1"/>
      <c r="IG130" s="1"/>
      <c r="IH130" s="1"/>
      <c r="II130" s="1"/>
      <c r="IJ130" s="1"/>
      <c r="IK130" s="1"/>
      <c r="IL130" s="1"/>
      <c r="IM130" s="1"/>
      <c r="IN130" s="1"/>
      <c r="IO130" s="1"/>
      <c r="IP130" s="1"/>
      <c r="IQ130" s="1"/>
      <c r="IR130" s="1"/>
      <c r="IS130" s="1"/>
      <c r="IT130" s="1"/>
      <c r="IU130" s="1"/>
    </row>
    <row r="131" spans="14:255" s="30" customFormat="1" ht="12.95" customHeight="1" x14ac:dyDescent="0.2">
      <c r="N131" s="31"/>
      <c r="IB131" s="1"/>
      <c r="IC131" s="1"/>
      <c r="ID131" s="1"/>
      <c r="IE131" s="1"/>
      <c r="IF131" s="1"/>
      <c r="IG131" s="1"/>
      <c r="IH131" s="1"/>
      <c r="II131" s="1"/>
      <c r="IJ131" s="1"/>
      <c r="IK131" s="1"/>
      <c r="IL131" s="1"/>
      <c r="IM131" s="1"/>
      <c r="IN131" s="1"/>
      <c r="IO131" s="1"/>
      <c r="IP131" s="1"/>
      <c r="IQ131" s="1"/>
      <c r="IR131" s="1"/>
      <c r="IS131" s="1"/>
      <c r="IT131" s="1"/>
      <c r="IU131" s="1"/>
    </row>
    <row r="132" spans="14:255" s="30" customFormat="1" ht="12.95" customHeight="1" x14ac:dyDescent="0.2">
      <c r="N132" s="31"/>
      <c r="IB132" s="1"/>
      <c r="IC132" s="1"/>
      <c r="ID132" s="1"/>
      <c r="IE132" s="1"/>
      <c r="IF132" s="1"/>
      <c r="IG132" s="1"/>
      <c r="IH132" s="1"/>
      <c r="II132" s="1"/>
      <c r="IJ132" s="1"/>
      <c r="IK132" s="1"/>
      <c r="IL132" s="1"/>
      <c r="IM132" s="1"/>
      <c r="IN132" s="1"/>
      <c r="IO132" s="1"/>
      <c r="IP132" s="1"/>
      <c r="IQ132" s="1"/>
      <c r="IR132" s="1"/>
      <c r="IS132" s="1"/>
      <c r="IT132" s="1"/>
      <c r="IU132" s="1"/>
    </row>
    <row r="133" spans="14:255" s="30" customFormat="1" ht="12.95" customHeight="1" x14ac:dyDescent="0.2">
      <c r="N133" s="31"/>
      <c r="IB133" s="1"/>
      <c r="IC133" s="1"/>
      <c r="ID133" s="1"/>
      <c r="IE133" s="1"/>
      <c r="IF133" s="1"/>
      <c r="IG133" s="1"/>
      <c r="IH133" s="1"/>
      <c r="II133" s="1"/>
      <c r="IJ133" s="1"/>
      <c r="IK133" s="1"/>
      <c r="IL133" s="1"/>
      <c r="IM133" s="1"/>
      <c r="IN133" s="1"/>
      <c r="IO133" s="1"/>
      <c r="IP133" s="1"/>
      <c r="IQ133" s="1"/>
      <c r="IR133" s="1"/>
      <c r="IS133" s="1"/>
      <c r="IT133" s="1"/>
      <c r="IU133" s="1"/>
    </row>
    <row r="134" spans="14:255" s="30" customFormat="1" ht="12.95" customHeight="1" x14ac:dyDescent="0.2">
      <c r="N134" s="31"/>
      <c r="IB134" s="1"/>
      <c r="IC134" s="1"/>
      <c r="ID134" s="1"/>
      <c r="IE134" s="1"/>
      <c r="IF134" s="1"/>
      <c r="IG134" s="1"/>
      <c r="IH134" s="1"/>
      <c r="II134" s="1"/>
      <c r="IJ134" s="1"/>
      <c r="IK134" s="1"/>
      <c r="IL134" s="1"/>
      <c r="IM134" s="1"/>
      <c r="IN134" s="1"/>
      <c r="IO134" s="1"/>
      <c r="IP134" s="1"/>
      <c r="IQ134" s="1"/>
      <c r="IR134" s="1"/>
      <c r="IS134" s="1"/>
      <c r="IT134" s="1"/>
      <c r="IU134" s="1"/>
    </row>
    <row r="135" spans="14:255" s="30" customFormat="1" ht="12.95" customHeight="1" x14ac:dyDescent="0.2">
      <c r="N135" s="31"/>
      <c r="IB135" s="1"/>
      <c r="IC135" s="1"/>
      <c r="ID135" s="1"/>
      <c r="IE135" s="1"/>
      <c r="IF135" s="1"/>
      <c r="IG135" s="1"/>
      <c r="IH135" s="1"/>
      <c r="II135" s="1"/>
      <c r="IJ135" s="1"/>
      <c r="IK135" s="1"/>
      <c r="IL135" s="1"/>
      <c r="IM135" s="1"/>
      <c r="IN135" s="1"/>
      <c r="IO135" s="1"/>
      <c r="IP135" s="1"/>
      <c r="IQ135" s="1"/>
      <c r="IR135" s="1"/>
      <c r="IS135" s="1"/>
      <c r="IT135" s="1"/>
      <c r="IU135" s="1"/>
    </row>
    <row r="136" spans="14:255" s="30" customFormat="1" ht="12.95" customHeight="1" x14ac:dyDescent="0.2">
      <c r="N136" s="31"/>
      <c r="IB136" s="1"/>
      <c r="IC136" s="1"/>
      <c r="ID136" s="1"/>
      <c r="IE136" s="1"/>
      <c r="IF136" s="1"/>
      <c r="IG136" s="1"/>
      <c r="IH136" s="1"/>
      <c r="II136" s="1"/>
      <c r="IJ136" s="1"/>
      <c r="IK136" s="1"/>
      <c r="IL136" s="1"/>
      <c r="IM136" s="1"/>
      <c r="IN136" s="1"/>
      <c r="IO136" s="1"/>
      <c r="IP136" s="1"/>
      <c r="IQ136" s="1"/>
      <c r="IR136" s="1"/>
      <c r="IS136" s="1"/>
      <c r="IT136" s="1"/>
      <c r="IU136" s="1"/>
    </row>
    <row r="137" spans="14:255" s="30" customFormat="1" ht="12.95" customHeight="1" x14ac:dyDescent="0.2">
      <c r="N137" s="31"/>
      <c r="IB137" s="1"/>
      <c r="IC137" s="1"/>
      <c r="ID137" s="1"/>
      <c r="IE137" s="1"/>
      <c r="IF137" s="1"/>
      <c r="IG137" s="1"/>
      <c r="IH137" s="1"/>
      <c r="II137" s="1"/>
      <c r="IJ137" s="1"/>
      <c r="IK137" s="1"/>
      <c r="IL137" s="1"/>
      <c r="IM137" s="1"/>
      <c r="IN137" s="1"/>
      <c r="IO137" s="1"/>
      <c r="IP137" s="1"/>
      <c r="IQ137" s="1"/>
      <c r="IR137" s="1"/>
      <c r="IS137" s="1"/>
      <c r="IT137" s="1"/>
      <c r="IU137" s="1"/>
    </row>
    <row r="138" spans="14:255" s="30" customFormat="1" ht="12.95" customHeight="1" x14ac:dyDescent="0.2">
      <c r="N138" s="31"/>
      <c r="IB138" s="1"/>
      <c r="IC138" s="1"/>
      <c r="ID138" s="1"/>
      <c r="IE138" s="1"/>
      <c r="IF138" s="1"/>
      <c r="IG138" s="1"/>
      <c r="IH138" s="1"/>
      <c r="II138" s="1"/>
      <c r="IJ138" s="1"/>
      <c r="IK138" s="1"/>
      <c r="IL138" s="1"/>
      <c r="IM138" s="1"/>
      <c r="IN138" s="1"/>
      <c r="IO138" s="1"/>
      <c r="IP138" s="1"/>
      <c r="IQ138" s="1"/>
      <c r="IR138" s="1"/>
      <c r="IS138" s="1"/>
      <c r="IT138" s="1"/>
      <c r="IU138" s="1"/>
    </row>
    <row r="139" spans="14:255" s="30" customFormat="1" ht="12.95" customHeight="1" x14ac:dyDescent="0.2">
      <c r="N139" s="31"/>
      <c r="IB139" s="1"/>
      <c r="IC139" s="1"/>
      <c r="ID139" s="1"/>
      <c r="IE139" s="1"/>
      <c r="IF139" s="1"/>
      <c r="IG139" s="1"/>
      <c r="IH139" s="1"/>
      <c r="II139" s="1"/>
      <c r="IJ139" s="1"/>
      <c r="IK139" s="1"/>
      <c r="IL139" s="1"/>
      <c r="IM139" s="1"/>
      <c r="IN139" s="1"/>
      <c r="IO139" s="1"/>
      <c r="IP139" s="1"/>
      <c r="IQ139" s="1"/>
      <c r="IR139" s="1"/>
      <c r="IS139" s="1"/>
      <c r="IT139" s="1"/>
      <c r="IU139" s="1"/>
    </row>
    <row r="140" spans="14:255" s="30" customFormat="1" ht="12.95" customHeight="1" x14ac:dyDescent="0.2">
      <c r="N140" s="31"/>
      <c r="IB140" s="1"/>
      <c r="IC140" s="1"/>
      <c r="ID140" s="1"/>
      <c r="IE140" s="1"/>
      <c r="IF140" s="1"/>
      <c r="IG140" s="1"/>
      <c r="IH140" s="1"/>
      <c r="II140" s="1"/>
      <c r="IJ140" s="1"/>
      <c r="IK140" s="1"/>
      <c r="IL140" s="1"/>
      <c r="IM140" s="1"/>
      <c r="IN140" s="1"/>
      <c r="IO140" s="1"/>
      <c r="IP140" s="1"/>
      <c r="IQ140" s="1"/>
      <c r="IR140" s="1"/>
      <c r="IS140" s="1"/>
      <c r="IT140" s="1"/>
      <c r="IU140" s="1"/>
    </row>
    <row r="141" spans="14:255" s="30" customFormat="1" ht="12.95" customHeight="1" x14ac:dyDescent="0.2">
      <c r="N141" s="31"/>
      <c r="IB141" s="1"/>
      <c r="IC141" s="1"/>
      <c r="ID141" s="1"/>
      <c r="IE141" s="1"/>
      <c r="IF141" s="1"/>
      <c r="IG141" s="1"/>
      <c r="IH141" s="1"/>
      <c r="II141" s="1"/>
      <c r="IJ141" s="1"/>
      <c r="IK141" s="1"/>
      <c r="IL141" s="1"/>
      <c r="IM141" s="1"/>
      <c r="IN141" s="1"/>
      <c r="IO141" s="1"/>
      <c r="IP141" s="1"/>
      <c r="IQ141" s="1"/>
      <c r="IR141" s="1"/>
      <c r="IS141" s="1"/>
      <c r="IT141" s="1"/>
      <c r="IU141" s="1"/>
    </row>
    <row r="142" spans="14:255" s="30" customFormat="1" ht="12.95" customHeight="1" x14ac:dyDescent="0.2">
      <c r="N142" s="31"/>
      <c r="IB142" s="1"/>
      <c r="IC142" s="1"/>
      <c r="ID142" s="1"/>
      <c r="IE142" s="1"/>
      <c r="IF142" s="1"/>
      <c r="IG142" s="1"/>
      <c r="IH142" s="1"/>
      <c r="II142" s="1"/>
      <c r="IJ142" s="1"/>
      <c r="IK142" s="1"/>
      <c r="IL142" s="1"/>
      <c r="IM142" s="1"/>
      <c r="IN142" s="1"/>
      <c r="IO142" s="1"/>
      <c r="IP142" s="1"/>
      <c r="IQ142" s="1"/>
      <c r="IR142" s="1"/>
      <c r="IS142" s="1"/>
      <c r="IT142" s="1"/>
      <c r="IU142" s="1"/>
    </row>
    <row r="143" spans="14:255" s="30" customFormat="1" ht="12.95" customHeight="1" x14ac:dyDescent="0.2">
      <c r="N143" s="31"/>
      <c r="IB143" s="1"/>
      <c r="IC143" s="1"/>
      <c r="ID143" s="1"/>
      <c r="IE143" s="1"/>
      <c r="IF143" s="1"/>
      <c r="IG143" s="1"/>
      <c r="IH143" s="1"/>
      <c r="II143" s="1"/>
      <c r="IJ143" s="1"/>
      <c r="IK143" s="1"/>
      <c r="IL143" s="1"/>
      <c r="IM143" s="1"/>
      <c r="IN143" s="1"/>
      <c r="IO143" s="1"/>
      <c r="IP143" s="1"/>
      <c r="IQ143" s="1"/>
      <c r="IR143" s="1"/>
      <c r="IS143" s="1"/>
      <c r="IT143" s="1"/>
      <c r="IU143" s="1"/>
    </row>
    <row r="144" spans="14:255" s="30" customFormat="1" ht="12.95" customHeight="1" x14ac:dyDescent="0.2">
      <c r="N144" s="31"/>
      <c r="IB144" s="1"/>
      <c r="IC144" s="1"/>
      <c r="ID144" s="1"/>
      <c r="IE144" s="1"/>
      <c r="IF144" s="1"/>
      <c r="IG144" s="1"/>
      <c r="IH144" s="1"/>
      <c r="II144" s="1"/>
      <c r="IJ144" s="1"/>
      <c r="IK144" s="1"/>
      <c r="IL144" s="1"/>
      <c r="IM144" s="1"/>
      <c r="IN144" s="1"/>
      <c r="IO144" s="1"/>
      <c r="IP144" s="1"/>
      <c r="IQ144" s="1"/>
      <c r="IR144" s="1"/>
      <c r="IS144" s="1"/>
      <c r="IT144" s="1"/>
      <c r="IU144" s="1"/>
    </row>
    <row r="145" spans="14:255" s="30" customFormat="1" ht="12.95" customHeight="1" x14ac:dyDescent="0.2">
      <c r="N145" s="31"/>
      <c r="IB145" s="1"/>
      <c r="IC145" s="1"/>
      <c r="ID145" s="1"/>
      <c r="IE145" s="1"/>
      <c r="IF145" s="1"/>
      <c r="IG145" s="1"/>
      <c r="IH145" s="1"/>
      <c r="II145" s="1"/>
      <c r="IJ145" s="1"/>
      <c r="IK145" s="1"/>
      <c r="IL145" s="1"/>
      <c r="IM145" s="1"/>
      <c r="IN145" s="1"/>
      <c r="IO145" s="1"/>
      <c r="IP145" s="1"/>
      <c r="IQ145" s="1"/>
      <c r="IR145" s="1"/>
      <c r="IS145" s="1"/>
      <c r="IT145" s="1"/>
      <c r="IU145" s="1"/>
    </row>
    <row r="146" spans="14:255" s="30" customFormat="1" ht="12.95" customHeight="1" x14ac:dyDescent="0.2">
      <c r="N146" s="31"/>
      <c r="IB146" s="1"/>
      <c r="IC146" s="1"/>
      <c r="ID146" s="1"/>
      <c r="IE146" s="1"/>
      <c r="IF146" s="1"/>
      <c r="IG146" s="1"/>
      <c r="IH146" s="1"/>
      <c r="II146" s="1"/>
      <c r="IJ146" s="1"/>
      <c r="IK146" s="1"/>
      <c r="IL146" s="1"/>
      <c r="IM146" s="1"/>
      <c r="IN146" s="1"/>
      <c r="IO146" s="1"/>
      <c r="IP146" s="1"/>
      <c r="IQ146" s="1"/>
      <c r="IR146" s="1"/>
      <c r="IS146" s="1"/>
      <c r="IT146" s="1"/>
      <c r="IU146" s="1"/>
    </row>
    <row r="147" spans="14:255" s="30" customFormat="1" ht="12.95" customHeight="1" x14ac:dyDescent="0.2">
      <c r="N147" s="31"/>
      <c r="IB147" s="1"/>
      <c r="IC147" s="1"/>
      <c r="ID147" s="1"/>
      <c r="IE147" s="1"/>
      <c r="IF147" s="1"/>
      <c r="IG147" s="1"/>
      <c r="IH147" s="1"/>
      <c r="II147" s="1"/>
      <c r="IJ147" s="1"/>
      <c r="IK147" s="1"/>
      <c r="IL147" s="1"/>
      <c r="IM147" s="1"/>
      <c r="IN147" s="1"/>
      <c r="IO147" s="1"/>
      <c r="IP147" s="1"/>
      <c r="IQ147" s="1"/>
      <c r="IR147" s="1"/>
      <c r="IS147" s="1"/>
      <c r="IT147" s="1"/>
      <c r="IU147" s="1"/>
    </row>
    <row r="148" spans="14:255" s="30" customFormat="1" ht="12.95" customHeight="1" x14ac:dyDescent="0.2">
      <c r="N148" s="31"/>
      <c r="IB148" s="1"/>
      <c r="IC148" s="1"/>
      <c r="ID148" s="1"/>
      <c r="IE148" s="1"/>
      <c r="IF148" s="1"/>
      <c r="IG148" s="1"/>
      <c r="IH148" s="1"/>
      <c r="II148" s="1"/>
      <c r="IJ148" s="1"/>
      <c r="IK148" s="1"/>
      <c r="IL148" s="1"/>
      <c r="IM148" s="1"/>
      <c r="IN148" s="1"/>
      <c r="IO148" s="1"/>
      <c r="IP148" s="1"/>
      <c r="IQ148" s="1"/>
      <c r="IR148" s="1"/>
      <c r="IS148" s="1"/>
      <c r="IT148" s="1"/>
      <c r="IU148" s="1"/>
    </row>
    <row r="149" spans="14:255" s="30" customFormat="1" ht="12.95" customHeight="1" x14ac:dyDescent="0.2">
      <c r="N149" s="31"/>
      <c r="IB149" s="1"/>
      <c r="IC149" s="1"/>
      <c r="ID149" s="1"/>
      <c r="IE149" s="1"/>
      <c r="IF149" s="1"/>
      <c r="IG149" s="1"/>
      <c r="IH149" s="1"/>
      <c r="II149" s="1"/>
      <c r="IJ149" s="1"/>
      <c r="IK149" s="1"/>
      <c r="IL149" s="1"/>
      <c r="IM149" s="1"/>
      <c r="IN149" s="1"/>
      <c r="IO149" s="1"/>
      <c r="IP149" s="1"/>
      <c r="IQ149" s="1"/>
      <c r="IR149" s="1"/>
      <c r="IS149" s="1"/>
      <c r="IT149" s="1"/>
      <c r="IU149" s="1"/>
    </row>
    <row r="150" spans="14:255" s="30" customFormat="1" ht="12.95" customHeight="1" x14ac:dyDescent="0.2">
      <c r="N150" s="31"/>
      <c r="IB150" s="1"/>
      <c r="IC150" s="1"/>
      <c r="ID150" s="1"/>
      <c r="IE150" s="1"/>
      <c r="IF150" s="1"/>
      <c r="IG150" s="1"/>
      <c r="IH150" s="1"/>
      <c r="II150" s="1"/>
      <c r="IJ150" s="1"/>
      <c r="IK150" s="1"/>
      <c r="IL150" s="1"/>
      <c r="IM150" s="1"/>
      <c r="IN150" s="1"/>
      <c r="IO150" s="1"/>
      <c r="IP150" s="1"/>
      <c r="IQ150" s="1"/>
      <c r="IR150" s="1"/>
      <c r="IS150" s="1"/>
      <c r="IT150" s="1"/>
      <c r="IU150" s="1"/>
    </row>
    <row r="151" spans="14:255" s="30" customFormat="1" ht="12.95" customHeight="1" x14ac:dyDescent="0.2">
      <c r="N151" s="31"/>
      <c r="IB151" s="1"/>
      <c r="IC151" s="1"/>
      <c r="ID151" s="1"/>
      <c r="IE151" s="1"/>
      <c r="IF151" s="1"/>
      <c r="IG151" s="1"/>
      <c r="IH151" s="1"/>
      <c r="II151" s="1"/>
      <c r="IJ151" s="1"/>
      <c r="IK151" s="1"/>
      <c r="IL151" s="1"/>
      <c r="IM151" s="1"/>
      <c r="IN151" s="1"/>
      <c r="IO151" s="1"/>
      <c r="IP151" s="1"/>
      <c r="IQ151" s="1"/>
      <c r="IR151" s="1"/>
      <c r="IS151" s="1"/>
      <c r="IT151" s="1"/>
      <c r="IU151" s="1"/>
    </row>
    <row r="152" spans="14:255" s="30" customFormat="1" ht="12.95" customHeight="1" x14ac:dyDescent="0.2">
      <c r="N152" s="31"/>
      <c r="IB152" s="1"/>
      <c r="IC152" s="1"/>
      <c r="ID152" s="1"/>
      <c r="IE152" s="1"/>
      <c r="IF152" s="1"/>
      <c r="IG152" s="1"/>
      <c r="IH152" s="1"/>
      <c r="II152" s="1"/>
      <c r="IJ152" s="1"/>
      <c r="IK152" s="1"/>
      <c r="IL152" s="1"/>
      <c r="IM152" s="1"/>
      <c r="IN152" s="1"/>
      <c r="IO152" s="1"/>
      <c r="IP152" s="1"/>
      <c r="IQ152" s="1"/>
      <c r="IR152" s="1"/>
      <c r="IS152" s="1"/>
      <c r="IT152" s="1"/>
      <c r="IU152" s="1"/>
    </row>
    <row r="153" spans="14:255" s="30" customFormat="1" ht="12.95" customHeight="1" x14ac:dyDescent="0.2">
      <c r="N153" s="31"/>
      <c r="IB153" s="1"/>
      <c r="IC153" s="1"/>
      <c r="ID153" s="1"/>
      <c r="IE153" s="1"/>
      <c r="IF153" s="1"/>
      <c r="IG153" s="1"/>
      <c r="IH153" s="1"/>
      <c r="II153" s="1"/>
      <c r="IJ153" s="1"/>
      <c r="IK153" s="1"/>
      <c r="IL153" s="1"/>
      <c r="IM153" s="1"/>
      <c r="IN153" s="1"/>
      <c r="IO153" s="1"/>
      <c r="IP153" s="1"/>
      <c r="IQ153" s="1"/>
      <c r="IR153" s="1"/>
      <c r="IS153" s="1"/>
      <c r="IT153" s="1"/>
      <c r="IU153" s="1"/>
    </row>
    <row r="154" spans="14:255" s="30" customFormat="1" ht="12.95" customHeight="1" x14ac:dyDescent="0.2">
      <c r="N154" s="31"/>
      <c r="IB154" s="1"/>
      <c r="IC154" s="1"/>
      <c r="ID154" s="1"/>
      <c r="IE154" s="1"/>
      <c r="IF154" s="1"/>
      <c r="IG154" s="1"/>
      <c r="IH154" s="1"/>
      <c r="II154" s="1"/>
      <c r="IJ154" s="1"/>
      <c r="IK154" s="1"/>
      <c r="IL154" s="1"/>
      <c r="IM154" s="1"/>
      <c r="IN154" s="1"/>
      <c r="IO154" s="1"/>
      <c r="IP154" s="1"/>
      <c r="IQ154" s="1"/>
      <c r="IR154" s="1"/>
      <c r="IS154" s="1"/>
      <c r="IT154" s="1"/>
      <c r="IU154" s="1"/>
    </row>
    <row r="155" spans="14:255" s="30" customFormat="1" ht="12.95" customHeight="1" x14ac:dyDescent="0.2">
      <c r="N155" s="31"/>
      <c r="IB155" s="1"/>
      <c r="IC155" s="1"/>
      <c r="ID155" s="1"/>
      <c r="IE155" s="1"/>
      <c r="IF155" s="1"/>
      <c r="IG155" s="1"/>
      <c r="IH155" s="1"/>
      <c r="II155" s="1"/>
      <c r="IJ155" s="1"/>
      <c r="IK155" s="1"/>
      <c r="IL155" s="1"/>
      <c r="IM155" s="1"/>
      <c r="IN155" s="1"/>
      <c r="IO155" s="1"/>
      <c r="IP155" s="1"/>
      <c r="IQ155" s="1"/>
      <c r="IR155" s="1"/>
      <c r="IS155" s="1"/>
      <c r="IT155" s="1"/>
      <c r="IU155" s="1"/>
    </row>
    <row r="156" spans="14:255" s="30" customFormat="1" ht="12.95" customHeight="1" x14ac:dyDescent="0.2">
      <c r="N156" s="31"/>
      <c r="IB156" s="1"/>
      <c r="IC156" s="1"/>
      <c r="ID156" s="1"/>
      <c r="IE156" s="1"/>
      <c r="IF156" s="1"/>
      <c r="IG156" s="1"/>
      <c r="IH156" s="1"/>
      <c r="II156" s="1"/>
      <c r="IJ156" s="1"/>
      <c r="IK156" s="1"/>
      <c r="IL156" s="1"/>
      <c r="IM156" s="1"/>
      <c r="IN156" s="1"/>
      <c r="IO156" s="1"/>
      <c r="IP156" s="1"/>
      <c r="IQ156" s="1"/>
      <c r="IR156" s="1"/>
      <c r="IS156" s="1"/>
      <c r="IT156" s="1"/>
      <c r="IU156" s="1"/>
    </row>
    <row r="157" spans="14:255" s="30" customFormat="1" ht="12.95" customHeight="1" x14ac:dyDescent="0.2">
      <c r="N157" s="31"/>
      <c r="IB157" s="1"/>
      <c r="IC157" s="1"/>
      <c r="ID157" s="1"/>
      <c r="IE157" s="1"/>
      <c r="IF157" s="1"/>
      <c r="IG157" s="1"/>
      <c r="IH157" s="1"/>
      <c r="II157" s="1"/>
      <c r="IJ157" s="1"/>
      <c r="IK157" s="1"/>
      <c r="IL157" s="1"/>
      <c r="IM157" s="1"/>
      <c r="IN157" s="1"/>
      <c r="IO157" s="1"/>
      <c r="IP157" s="1"/>
      <c r="IQ157" s="1"/>
      <c r="IR157" s="1"/>
      <c r="IS157" s="1"/>
      <c r="IT157" s="1"/>
      <c r="IU157" s="1"/>
    </row>
    <row r="158" spans="14:255" s="30" customFormat="1" ht="12.95" customHeight="1" x14ac:dyDescent="0.2">
      <c r="N158" s="31"/>
      <c r="IB158" s="1"/>
      <c r="IC158" s="1"/>
      <c r="ID158" s="1"/>
      <c r="IE158" s="1"/>
      <c r="IF158" s="1"/>
      <c r="IG158" s="1"/>
      <c r="IH158" s="1"/>
      <c r="II158" s="1"/>
      <c r="IJ158" s="1"/>
      <c r="IK158" s="1"/>
      <c r="IL158" s="1"/>
      <c r="IM158" s="1"/>
      <c r="IN158" s="1"/>
      <c r="IO158" s="1"/>
      <c r="IP158" s="1"/>
      <c r="IQ158" s="1"/>
      <c r="IR158" s="1"/>
      <c r="IS158" s="1"/>
      <c r="IT158" s="1"/>
      <c r="IU158" s="1"/>
    </row>
    <row r="159" spans="14:255" s="30" customFormat="1" ht="12.95" customHeight="1" x14ac:dyDescent="0.2">
      <c r="N159" s="31"/>
      <c r="IB159" s="1"/>
      <c r="IC159" s="1"/>
      <c r="ID159" s="1"/>
      <c r="IE159" s="1"/>
      <c r="IF159" s="1"/>
      <c r="IG159" s="1"/>
      <c r="IH159" s="1"/>
      <c r="II159" s="1"/>
      <c r="IJ159" s="1"/>
      <c r="IK159" s="1"/>
      <c r="IL159" s="1"/>
      <c r="IM159" s="1"/>
      <c r="IN159" s="1"/>
      <c r="IO159" s="1"/>
      <c r="IP159" s="1"/>
      <c r="IQ159" s="1"/>
      <c r="IR159" s="1"/>
      <c r="IS159" s="1"/>
      <c r="IT159" s="1"/>
      <c r="IU159" s="1"/>
    </row>
    <row r="160" spans="14:255" s="30" customFormat="1" ht="12.95" customHeight="1" x14ac:dyDescent="0.2">
      <c r="N160" s="31"/>
      <c r="IB160" s="1"/>
      <c r="IC160" s="1"/>
      <c r="ID160" s="1"/>
      <c r="IE160" s="1"/>
      <c r="IF160" s="1"/>
      <c r="IG160" s="1"/>
      <c r="IH160" s="1"/>
      <c r="II160" s="1"/>
      <c r="IJ160" s="1"/>
      <c r="IK160" s="1"/>
      <c r="IL160" s="1"/>
      <c r="IM160" s="1"/>
      <c r="IN160" s="1"/>
      <c r="IO160" s="1"/>
      <c r="IP160" s="1"/>
      <c r="IQ160" s="1"/>
      <c r="IR160" s="1"/>
      <c r="IS160" s="1"/>
      <c r="IT160" s="1"/>
      <c r="IU160" s="1"/>
    </row>
    <row r="161" spans="14:255" s="30" customFormat="1" ht="12.95" customHeight="1" x14ac:dyDescent="0.2">
      <c r="N161" s="31"/>
      <c r="IB161" s="1"/>
      <c r="IC161" s="1"/>
      <c r="ID161" s="1"/>
      <c r="IE161" s="1"/>
      <c r="IF161" s="1"/>
      <c r="IG161" s="1"/>
      <c r="IH161" s="1"/>
      <c r="II161" s="1"/>
      <c r="IJ161" s="1"/>
      <c r="IK161" s="1"/>
      <c r="IL161" s="1"/>
      <c r="IM161" s="1"/>
      <c r="IN161" s="1"/>
      <c r="IO161" s="1"/>
      <c r="IP161" s="1"/>
      <c r="IQ161" s="1"/>
      <c r="IR161" s="1"/>
      <c r="IS161" s="1"/>
      <c r="IT161" s="1"/>
      <c r="IU161" s="1"/>
    </row>
    <row r="162" spans="14:255" s="30" customFormat="1" ht="12.95" customHeight="1" x14ac:dyDescent="0.2">
      <c r="N162" s="31"/>
      <c r="IB162" s="1"/>
      <c r="IC162" s="1"/>
      <c r="ID162" s="1"/>
      <c r="IE162" s="1"/>
      <c r="IF162" s="1"/>
      <c r="IG162" s="1"/>
      <c r="IH162" s="1"/>
      <c r="II162" s="1"/>
      <c r="IJ162" s="1"/>
      <c r="IK162" s="1"/>
      <c r="IL162" s="1"/>
      <c r="IM162" s="1"/>
      <c r="IN162" s="1"/>
      <c r="IO162" s="1"/>
      <c r="IP162" s="1"/>
      <c r="IQ162" s="1"/>
      <c r="IR162" s="1"/>
      <c r="IS162" s="1"/>
      <c r="IT162" s="1"/>
      <c r="IU162" s="1"/>
    </row>
    <row r="163" spans="14:255" s="30" customFormat="1" ht="12.95" customHeight="1" x14ac:dyDescent="0.2">
      <c r="N163" s="31"/>
      <c r="IB163" s="1"/>
      <c r="IC163" s="1"/>
      <c r="ID163" s="1"/>
      <c r="IE163" s="1"/>
      <c r="IF163" s="1"/>
      <c r="IG163" s="1"/>
      <c r="IH163" s="1"/>
      <c r="II163" s="1"/>
      <c r="IJ163" s="1"/>
      <c r="IK163" s="1"/>
      <c r="IL163" s="1"/>
      <c r="IM163" s="1"/>
      <c r="IN163" s="1"/>
      <c r="IO163" s="1"/>
      <c r="IP163" s="1"/>
      <c r="IQ163" s="1"/>
      <c r="IR163" s="1"/>
      <c r="IS163" s="1"/>
      <c r="IT163" s="1"/>
      <c r="IU163" s="1"/>
    </row>
    <row r="164" spans="14:255" s="30" customFormat="1" ht="12.95" customHeight="1" x14ac:dyDescent="0.2">
      <c r="N164" s="31"/>
      <c r="IB164" s="1"/>
      <c r="IC164" s="1"/>
      <c r="ID164" s="1"/>
      <c r="IE164" s="1"/>
      <c r="IF164" s="1"/>
      <c r="IG164" s="1"/>
      <c r="IH164" s="1"/>
      <c r="II164" s="1"/>
      <c r="IJ164" s="1"/>
      <c r="IK164" s="1"/>
      <c r="IL164" s="1"/>
      <c r="IM164" s="1"/>
      <c r="IN164" s="1"/>
      <c r="IO164" s="1"/>
      <c r="IP164" s="1"/>
      <c r="IQ164" s="1"/>
      <c r="IR164" s="1"/>
      <c r="IS164" s="1"/>
      <c r="IT164" s="1"/>
      <c r="IU164" s="1"/>
    </row>
    <row r="165" spans="14:255" s="30" customFormat="1" ht="12.95" customHeight="1" x14ac:dyDescent="0.2">
      <c r="N165" s="31"/>
      <c r="IB165" s="1"/>
      <c r="IC165" s="1"/>
      <c r="ID165" s="1"/>
      <c r="IE165" s="1"/>
      <c r="IF165" s="1"/>
      <c r="IG165" s="1"/>
      <c r="IH165" s="1"/>
      <c r="II165" s="1"/>
      <c r="IJ165" s="1"/>
      <c r="IK165" s="1"/>
      <c r="IL165" s="1"/>
      <c r="IM165" s="1"/>
      <c r="IN165" s="1"/>
      <c r="IO165" s="1"/>
      <c r="IP165" s="1"/>
      <c r="IQ165" s="1"/>
      <c r="IR165" s="1"/>
      <c r="IS165" s="1"/>
      <c r="IT165" s="1"/>
      <c r="IU165" s="1"/>
    </row>
    <row r="166" spans="14:255" s="30" customFormat="1" ht="12.95" customHeight="1" x14ac:dyDescent="0.2">
      <c r="N166" s="31"/>
      <c r="IB166" s="1"/>
      <c r="IC166" s="1"/>
      <c r="ID166" s="1"/>
      <c r="IE166" s="1"/>
      <c r="IF166" s="1"/>
      <c r="IG166" s="1"/>
      <c r="IH166" s="1"/>
      <c r="II166" s="1"/>
      <c r="IJ166" s="1"/>
      <c r="IK166" s="1"/>
      <c r="IL166" s="1"/>
      <c r="IM166" s="1"/>
      <c r="IN166" s="1"/>
      <c r="IO166" s="1"/>
      <c r="IP166" s="1"/>
      <c r="IQ166" s="1"/>
      <c r="IR166" s="1"/>
      <c r="IS166" s="1"/>
      <c r="IT166" s="1"/>
      <c r="IU166" s="1"/>
    </row>
    <row r="167" spans="14:255" s="30" customFormat="1" ht="12.95" customHeight="1" x14ac:dyDescent="0.2">
      <c r="N167" s="31"/>
      <c r="IB167" s="1"/>
      <c r="IC167" s="1"/>
      <c r="ID167" s="1"/>
      <c r="IE167" s="1"/>
      <c r="IF167" s="1"/>
      <c r="IG167" s="1"/>
      <c r="IH167" s="1"/>
      <c r="II167" s="1"/>
      <c r="IJ167" s="1"/>
      <c r="IK167" s="1"/>
      <c r="IL167" s="1"/>
      <c r="IM167" s="1"/>
      <c r="IN167" s="1"/>
      <c r="IO167" s="1"/>
      <c r="IP167" s="1"/>
      <c r="IQ167" s="1"/>
      <c r="IR167" s="1"/>
      <c r="IS167" s="1"/>
      <c r="IT167" s="1"/>
      <c r="IU167" s="1"/>
    </row>
    <row r="168" spans="14:255" s="30" customFormat="1" ht="12.95" customHeight="1" x14ac:dyDescent="0.2">
      <c r="N168" s="31"/>
      <c r="IB168" s="1"/>
      <c r="IC168" s="1"/>
      <c r="ID168" s="1"/>
      <c r="IE168" s="1"/>
      <c r="IF168" s="1"/>
      <c r="IG168" s="1"/>
      <c r="IH168" s="1"/>
      <c r="II168" s="1"/>
      <c r="IJ168" s="1"/>
      <c r="IK168" s="1"/>
      <c r="IL168" s="1"/>
      <c r="IM168" s="1"/>
      <c r="IN168" s="1"/>
      <c r="IO168" s="1"/>
      <c r="IP168" s="1"/>
      <c r="IQ168" s="1"/>
      <c r="IR168" s="1"/>
      <c r="IS168" s="1"/>
      <c r="IT168" s="1"/>
      <c r="IU168" s="1"/>
    </row>
    <row r="169" spans="14:255" s="30" customFormat="1" ht="12.95" customHeight="1" x14ac:dyDescent="0.2">
      <c r="N169" s="31"/>
      <c r="IB169" s="1"/>
      <c r="IC169" s="1"/>
      <c r="ID169" s="1"/>
      <c r="IE169" s="1"/>
      <c r="IF169" s="1"/>
      <c r="IG169" s="1"/>
      <c r="IH169" s="1"/>
      <c r="II169" s="1"/>
      <c r="IJ169" s="1"/>
      <c r="IK169" s="1"/>
      <c r="IL169" s="1"/>
      <c r="IM169" s="1"/>
      <c r="IN169" s="1"/>
      <c r="IO169" s="1"/>
      <c r="IP169" s="1"/>
      <c r="IQ169" s="1"/>
      <c r="IR169" s="1"/>
      <c r="IS169" s="1"/>
      <c r="IT169" s="1"/>
      <c r="IU169" s="1"/>
    </row>
    <row r="170" spans="14:255" s="30" customFormat="1" ht="12.95" customHeight="1" x14ac:dyDescent="0.2">
      <c r="N170" s="31"/>
      <c r="IB170" s="1"/>
      <c r="IC170" s="1"/>
      <c r="ID170" s="1"/>
      <c r="IE170" s="1"/>
      <c r="IF170" s="1"/>
      <c r="IG170" s="1"/>
      <c r="IH170" s="1"/>
      <c r="II170" s="1"/>
      <c r="IJ170" s="1"/>
      <c r="IK170" s="1"/>
      <c r="IL170" s="1"/>
      <c r="IM170" s="1"/>
      <c r="IN170" s="1"/>
      <c r="IO170" s="1"/>
      <c r="IP170" s="1"/>
      <c r="IQ170" s="1"/>
      <c r="IR170" s="1"/>
      <c r="IS170" s="1"/>
      <c r="IT170" s="1"/>
      <c r="IU170" s="1"/>
    </row>
    <row r="171" spans="14:255" s="30" customFormat="1" ht="12.95" customHeight="1" x14ac:dyDescent="0.2">
      <c r="N171" s="31"/>
      <c r="IB171" s="1"/>
      <c r="IC171" s="1"/>
      <c r="ID171" s="1"/>
      <c r="IE171" s="1"/>
      <c r="IF171" s="1"/>
      <c r="IG171" s="1"/>
      <c r="IH171" s="1"/>
      <c r="II171" s="1"/>
      <c r="IJ171" s="1"/>
      <c r="IK171" s="1"/>
      <c r="IL171" s="1"/>
      <c r="IM171" s="1"/>
      <c r="IN171" s="1"/>
      <c r="IO171" s="1"/>
      <c r="IP171" s="1"/>
      <c r="IQ171" s="1"/>
      <c r="IR171" s="1"/>
      <c r="IS171" s="1"/>
      <c r="IT171" s="1"/>
      <c r="IU171" s="1"/>
    </row>
    <row r="172" spans="14:255" s="30" customFormat="1" ht="12.95" customHeight="1" x14ac:dyDescent="0.2">
      <c r="N172" s="31"/>
      <c r="IB172" s="1"/>
      <c r="IC172" s="1"/>
      <c r="ID172" s="1"/>
      <c r="IE172" s="1"/>
      <c r="IF172" s="1"/>
      <c r="IG172" s="1"/>
      <c r="IH172" s="1"/>
      <c r="II172" s="1"/>
      <c r="IJ172" s="1"/>
      <c r="IK172" s="1"/>
      <c r="IL172" s="1"/>
      <c r="IM172" s="1"/>
      <c r="IN172" s="1"/>
      <c r="IO172" s="1"/>
      <c r="IP172" s="1"/>
      <c r="IQ172" s="1"/>
      <c r="IR172" s="1"/>
      <c r="IS172" s="1"/>
      <c r="IT172" s="1"/>
      <c r="IU172" s="1"/>
    </row>
    <row r="173" spans="14:255" s="30" customFormat="1" ht="12.95" customHeight="1" x14ac:dyDescent="0.2">
      <c r="N173" s="31"/>
      <c r="IB173" s="1"/>
      <c r="IC173" s="1"/>
      <c r="ID173" s="1"/>
      <c r="IE173" s="1"/>
      <c r="IF173" s="1"/>
      <c r="IG173" s="1"/>
      <c r="IH173" s="1"/>
      <c r="II173" s="1"/>
      <c r="IJ173" s="1"/>
      <c r="IK173" s="1"/>
      <c r="IL173" s="1"/>
      <c r="IM173" s="1"/>
      <c r="IN173" s="1"/>
      <c r="IO173" s="1"/>
      <c r="IP173" s="1"/>
      <c r="IQ173" s="1"/>
      <c r="IR173" s="1"/>
      <c r="IS173" s="1"/>
      <c r="IT173" s="1"/>
      <c r="IU173" s="1"/>
    </row>
    <row r="174" spans="14:255" s="30" customFormat="1" ht="12.95" customHeight="1" x14ac:dyDescent="0.2">
      <c r="N174" s="31"/>
      <c r="IB174" s="1"/>
      <c r="IC174" s="1"/>
      <c r="ID174" s="1"/>
      <c r="IE174" s="1"/>
      <c r="IF174" s="1"/>
      <c r="IG174" s="1"/>
      <c r="IH174" s="1"/>
      <c r="II174" s="1"/>
      <c r="IJ174" s="1"/>
      <c r="IK174" s="1"/>
      <c r="IL174" s="1"/>
      <c r="IM174" s="1"/>
      <c r="IN174" s="1"/>
      <c r="IO174" s="1"/>
      <c r="IP174" s="1"/>
      <c r="IQ174" s="1"/>
      <c r="IR174" s="1"/>
      <c r="IS174" s="1"/>
      <c r="IT174" s="1"/>
      <c r="IU174" s="1"/>
    </row>
    <row r="175" spans="14:255" s="30" customFormat="1" ht="12.95" customHeight="1" x14ac:dyDescent="0.2">
      <c r="N175" s="31"/>
      <c r="IB175" s="1"/>
      <c r="IC175" s="1"/>
      <c r="ID175" s="1"/>
      <c r="IE175" s="1"/>
      <c r="IF175" s="1"/>
      <c r="IG175" s="1"/>
      <c r="IH175" s="1"/>
      <c r="II175" s="1"/>
      <c r="IJ175" s="1"/>
      <c r="IK175" s="1"/>
      <c r="IL175" s="1"/>
      <c r="IM175" s="1"/>
      <c r="IN175" s="1"/>
      <c r="IO175" s="1"/>
      <c r="IP175" s="1"/>
      <c r="IQ175" s="1"/>
      <c r="IR175" s="1"/>
      <c r="IS175" s="1"/>
      <c r="IT175" s="1"/>
      <c r="IU175" s="1"/>
    </row>
    <row r="176" spans="14:255" s="30" customFormat="1" ht="12.95" customHeight="1" x14ac:dyDescent="0.2">
      <c r="N176" s="31"/>
      <c r="IB176" s="1"/>
      <c r="IC176" s="1"/>
      <c r="ID176" s="1"/>
      <c r="IE176" s="1"/>
      <c r="IF176" s="1"/>
      <c r="IG176" s="1"/>
      <c r="IH176" s="1"/>
      <c r="II176" s="1"/>
      <c r="IJ176" s="1"/>
      <c r="IK176" s="1"/>
      <c r="IL176" s="1"/>
      <c r="IM176" s="1"/>
      <c r="IN176" s="1"/>
      <c r="IO176" s="1"/>
      <c r="IP176" s="1"/>
      <c r="IQ176" s="1"/>
      <c r="IR176" s="1"/>
      <c r="IS176" s="1"/>
      <c r="IT176" s="1"/>
      <c r="IU176" s="1"/>
    </row>
    <row r="177" spans="14:255" s="30" customFormat="1" ht="12.95" customHeight="1" x14ac:dyDescent="0.2">
      <c r="N177" s="31"/>
      <c r="IB177" s="1"/>
      <c r="IC177" s="1"/>
      <c r="ID177" s="1"/>
      <c r="IE177" s="1"/>
      <c r="IF177" s="1"/>
      <c r="IG177" s="1"/>
      <c r="IH177" s="1"/>
      <c r="II177" s="1"/>
      <c r="IJ177" s="1"/>
      <c r="IK177" s="1"/>
      <c r="IL177" s="1"/>
      <c r="IM177" s="1"/>
      <c r="IN177" s="1"/>
      <c r="IO177" s="1"/>
      <c r="IP177" s="1"/>
      <c r="IQ177" s="1"/>
      <c r="IR177" s="1"/>
      <c r="IS177" s="1"/>
      <c r="IT177" s="1"/>
      <c r="IU177" s="1"/>
    </row>
    <row r="178" spans="14:255" s="30" customFormat="1" ht="12.95" customHeight="1" x14ac:dyDescent="0.2">
      <c r="N178" s="31"/>
      <c r="IB178" s="1"/>
      <c r="IC178" s="1"/>
      <c r="ID178" s="1"/>
      <c r="IE178" s="1"/>
      <c r="IF178" s="1"/>
      <c r="IG178" s="1"/>
      <c r="IH178" s="1"/>
      <c r="II178" s="1"/>
      <c r="IJ178" s="1"/>
      <c r="IK178" s="1"/>
      <c r="IL178" s="1"/>
      <c r="IM178" s="1"/>
      <c r="IN178" s="1"/>
      <c r="IO178" s="1"/>
      <c r="IP178" s="1"/>
      <c r="IQ178" s="1"/>
      <c r="IR178" s="1"/>
      <c r="IS178" s="1"/>
      <c r="IT178" s="1"/>
      <c r="IU178" s="1"/>
    </row>
    <row r="179" spans="14:255" s="30" customFormat="1" ht="12.95" customHeight="1" x14ac:dyDescent="0.2">
      <c r="N179" s="31"/>
      <c r="IB179" s="1"/>
      <c r="IC179" s="1"/>
      <c r="ID179" s="1"/>
      <c r="IE179" s="1"/>
      <c r="IF179" s="1"/>
      <c r="IG179" s="1"/>
      <c r="IH179" s="1"/>
      <c r="II179" s="1"/>
      <c r="IJ179" s="1"/>
      <c r="IK179" s="1"/>
      <c r="IL179" s="1"/>
      <c r="IM179" s="1"/>
      <c r="IN179" s="1"/>
      <c r="IO179" s="1"/>
      <c r="IP179" s="1"/>
      <c r="IQ179" s="1"/>
      <c r="IR179" s="1"/>
      <c r="IS179" s="1"/>
      <c r="IT179" s="1"/>
      <c r="IU179" s="1"/>
    </row>
    <row r="180" spans="14:255" s="30" customFormat="1" ht="12.95" customHeight="1" x14ac:dyDescent="0.2">
      <c r="N180" s="31"/>
      <c r="IB180" s="1"/>
      <c r="IC180" s="1"/>
      <c r="ID180" s="1"/>
      <c r="IE180" s="1"/>
      <c r="IF180" s="1"/>
      <c r="IG180" s="1"/>
      <c r="IH180" s="1"/>
      <c r="II180" s="1"/>
      <c r="IJ180" s="1"/>
      <c r="IK180" s="1"/>
      <c r="IL180" s="1"/>
      <c r="IM180" s="1"/>
      <c r="IN180" s="1"/>
      <c r="IO180" s="1"/>
      <c r="IP180" s="1"/>
      <c r="IQ180" s="1"/>
      <c r="IR180" s="1"/>
      <c r="IS180" s="1"/>
      <c r="IT180" s="1"/>
      <c r="IU180" s="1"/>
    </row>
    <row r="181" spans="14:255" s="30" customFormat="1" ht="12.95" customHeight="1" x14ac:dyDescent="0.2">
      <c r="N181" s="31"/>
      <c r="IB181" s="1"/>
      <c r="IC181" s="1"/>
      <c r="ID181" s="1"/>
      <c r="IE181" s="1"/>
      <c r="IF181" s="1"/>
      <c r="IG181" s="1"/>
      <c r="IH181" s="1"/>
      <c r="II181" s="1"/>
      <c r="IJ181" s="1"/>
      <c r="IK181" s="1"/>
      <c r="IL181" s="1"/>
      <c r="IM181" s="1"/>
      <c r="IN181" s="1"/>
      <c r="IO181" s="1"/>
      <c r="IP181" s="1"/>
      <c r="IQ181" s="1"/>
      <c r="IR181" s="1"/>
      <c r="IS181" s="1"/>
      <c r="IT181" s="1"/>
      <c r="IU181" s="1"/>
    </row>
    <row r="182" spans="14:255" s="30" customFormat="1" ht="12.95" customHeight="1" x14ac:dyDescent="0.2">
      <c r="N182" s="31"/>
      <c r="IB182" s="1"/>
      <c r="IC182" s="1"/>
      <c r="ID182" s="1"/>
      <c r="IE182" s="1"/>
      <c r="IF182" s="1"/>
      <c r="IG182" s="1"/>
      <c r="IH182" s="1"/>
      <c r="II182" s="1"/>
      <c r="IJ182" s="1"/>
      <c r="IK182" s="1"/>
      <c r="IL182" s="1"/>
      <c r="IM182" s="1"/>
      <c r="IN182" s="1"/>
      <c r="IO182" s="1"/>
      <c r="IP182" s="1"/>
      <c r="IQ182" s="1"/>
      <c r="IR182" s="1"/>
      <c r="IS182" s="1"/>
      <c r="IT182" s="1"/>
      <c r="IU182" s="1"/>
    </row>
    <row r="183" spans="14:255" s="30" customFormat="1" ht="12.95" customHeight="1" x14ac:dyDescent="0.2">
      <c r="N183" s="31"/>
      <c r="IB183" s="1"/>
      <c r="IC183" s="1"/>
      <c r="ID183" s="1"/>
      <c r="IE183" s="1"/>
      <c r="IF183" s="1"/>
      <c r="IG183" s="1"/>
      <c r="IH183" s="1"/>
      <c r="II183" s="1"/>
      <c r="IJ183" s="1"/>
      <c r="IK183" s="1"/>
      <c r="IL183" s="1"/>
      <c r="IM183" s="1"/>
      <c r="IN183" s="1"/>
      <c r="IO183" s="1"/>
      <c r="IP183" s="1"/>
      <c r="IQ183" s="1"/>
      <c r="IR183" s="1"/>
      <c r="IS183" s="1"/>
      <c r="IT183" s="1"/>
      <c r="IU183" s="1"/>
    </row>
    <row r="184" spans="14:255" s="30" customFormat="1" ht="12.95" customHeight="1" x14ac:dyDescent="0.2">
      <c r="N184" s="31"/>
      <c r="IB184" s="1"/>
      <c r="IC184" s="1"/>
      <c r="ID184" s="1"/>
      <c r="IE184" s="1"/>
      <c r="IF184" s="1"/>
      <c r="IG184" s="1"/>
      <c r="IH184" s="1"/>
      <c r="II184" s="1"/>
      <c r="IJ184" s="1"/>
      <c r="IK184" s="1"/>
      <c r="IL184" s="1"/>
      <c r="IM184" s="1"/>
      <c r="IN184" s="1"/>
      <c r="IO184" s="1"/>
      <c r="IP184" s="1"/>
      <c r="IQ184" s="1"/>
      <c r="IR184" s="1"/>
      <c r="IS184" s="1"/>
      <c r="IT184" s="1"/>
      <c r="IU184" s="1"/>
    </row>
    <row r="185" spans="14:255" s="30" customFormat="1" ht="12.95" customHeight="1" x14ac:dyDescent="0.2">
      <c r="N185" s="31"/>
      <c r="IB185" s="1"/>
      <c r="IC185" s="1"/>
      <c r="ID185" s="1"/>
      <c r="IE185" s="1"/>
      <c r="IF185" s="1"/>
      <c r="IG185" s="1"/>
      <c r="IH185" s="1"/>
      <c r="II185" s="1"/>
      <c r="IJ185" s="1"/>
      <c r="IK185" s="1"/>
      <c r="IL185" s="1"/>
      <c r="IM185" s="1"/>
      <c r="IN185" s="1"/>
      <c r="IO185" s="1"/>
      <c r="IP185" s="1"/>
      <c r="IQ185" s="1"/>
      <c r="IR185" s="1"/>
      <c r="IS185" s="1"/>
      <c r="IT185" s="1"/>
      <c r="IU185" s="1"/>
    </row>
    <row r="186" spans="14:255" s="30" customFormat="1" ht="12.95" customHeight="1" x14ac:dyDescent="0.2">
      <c r="N186" s="31"/>
      <c r="IB186" s="1"/>
      <c r="IC186" s="1"/>
      <c r="ID186" s="1"/>
      <c r="IE186" s="1"/>
      <c r="IF186" s="1"/>
      <c r="IG186" s="1"/>
      <c r="IH186" s="1"/>
      <c r="II186" s="1"/>
      <c r="IJ186" s="1"/>
      <c r="IK186" s="1"/>
      <c r="IL186" s="1"/>
      <c r="IM186" s="1"/>
      <c r="IN186" s="1"/>
      <c r="IO186" s="1"/>
      <c r="IP186" s="1"/>
      <c r="IQ186" s="1"/>
      <c r="IR186" s="1"/>
      <c r="IS186" s="1"/>
      <c r="IT186" s="1"/>
      <c r="IU186" s="1"/>
    </row>
    <row r="187" spans="14:255" s="30" customFormat="1" ht="12.95" customHeight="1" x14ac:dyDescent="0.2">
      <c r="N187" s="31"/>
      <c r="IB187" s="1"/>
      <c r="IC187" s="1"/>
      <c r="ID187" s="1"/>
      <c r="IE187" s="1"/>
      <c r="IF187" s="1"/>
      <c r="IG187" s="1"/>
      <c r="IH187" s="1"/>
      <c r="II187" s="1"/>
      <c r="IJ187" s="1"/>
      <c r="IK187" s="1"/>
      <c r="IL187" s="1"/>
      <c r="IM187" s="1"/>
      <c r="IN187" s="1"/>
      <c r="IO187" s="1"/>
      <c r="IP187" s="1"/>
      <c r="IQ187" s="1"/>
      <c r="IR187" s="1"/>
      <c r="IS187" s="1"/>
      <c r="IT187" s="1"/>
      <c r="IU187" s="1"/>
    </row>
    <row r="188" spans="14:255" s="30" customFormat="1" ht="12.95" customHeight="1" x14ac:dyDescent="0.2">
      <c r="N188" s="31"/>
      <c r="IB188" s="1"/>
      <c r="IC188" s="1"/>
      <c r="ID188" s="1"/>
      <c r="IE188" s="1"/>
      <c r="IF188" s="1"/>
      <c r="IG188" s="1"/>
      <c r="IH188" s="1"/>
      <c r="II188" s="1"/>
      <c r="IJ188" s="1"/>
      <c r="IK188" s="1"/>
      <c r="IL188" s="1"/>
      <c r="IM188" s="1"/>
      <c r="IN188" s="1"/>
      <c r="IO188" s="1"/>
      <c r="IP188" s="1"/>
      <c r="IQ188" s="1"/>
      <c r="IR188" s="1"/>
      <c r="IS188" s="1"/>
      <c r="IT188" s="1"/>
      <c r="IU188" s="1"/>
    </row>
    <row r="189" spans="14:255" s="30" customFormat="1" ht="12.95" customHeight="1" x14ac:dyDescent="0.2">
      <c r="N189" s="31"/>
      <c r="IB189" s="1"/>
      <c r="IC189" s="1"/>
      <c r="ID189" s="1"/>
      <c r="IE189" s="1"/>
      <c r="IF189" s="1"/>
      <c r="IG189" s="1"/>
      <c r="IH189" s="1"/>
      <c r="II189" s="1"/>
      <c r="IJ189" s="1"/>
      <c r="IK189" s="1"/>
      <c r="IL189" s="1"/>
      <c r="IM189" s="1"/>
      <c r="IN189" s="1"/>
      <c r="IO189" s="1"/>
      <c r="IP189" s="1"/>
      <c r="IQ189" s="1"/>
      <c r="IR189" s="1"/>
      <c r="IS189" s="1"/>
      <c r="IT189" s="1"/>
      <c r="IU189" s="1"/>
    </row>
    <row r="190" spans="14:255" s="30" customFormat="1" ht="12.95" customHeight="1" x14ac:dyDescent="0.2">
      <c r="N190" s="31"/>
      <c r="IB190" s="1"/>
      <c r="IC190" s="1"/>
      <c r="ID190" s="1"/>
      <c r="IE190" s="1"/>
      <c r="IF190" s="1"/>
      <c r="IG190" s="1"/>
      <c r="IH190" s="1"/>
      <c r="II190" s="1"/>
      <c r="IJ190" s="1"/>
      <c r="IK190" s="1"/>
      <c r="IL190" s="1"/>
      <c r="IM190" s="1"/>
      <c r="IN190" s="1"/>
      <c r="IO190" s="1"/>
      <c r="IP190" s="1"/>
      <c r="IQ190" s="1"/>
      <c r="IR190" s="1"/>
      <c r="IS190" s="1"/>
      <c r="IT190" s="1"/>
      <c r="IU190" s="1"/>
    </row>
    <row r="191" spans="14:255" s="30" customFormat="1" ht="12.95" customHeight="1" x14ac:dyDescent="0.2">
      <c r="N191" s="31"/>
      <c r="IB191" s="1"/>
      <c r="IC191" s="1"/>
      <c r="ID191" s="1"/>
      <c r="IE191" s="1"/>
      <c r="IF191" s="1"/>
      <c r="IG191" s="1"/>
      <c r="IH191" s="1"/>
      <c r="II191" s="1"/>
      <c r="IJ191" s="1"/>
      <c r="IK191" s="1"/>
      <c r="IL191" s="1"/>
      <c r="IM191" s="1"/>
      <c r="IN191" s="1"/>
      <c r="IO191" s="1"/>
      <c r="IP191" s="1"/>
      <c r="IQ191" s="1"/>
      <c r="IR191" s="1"/>
      <c r="IS191" s="1"/>
      <c r="IT191" s="1"/>
      <c r="IU191" s="1"/>
    </row>
    <row r="192" spans="14:255" s="30" customFormat="1" ht="12.95" customHeight="1" x14ac:dyDescent="0.2">
      <c r="N192" s="31"/>
      <c r="IB192" s="1"/>
      <c r="IC192" s="1"/>
      <c r="ID192" s="1"/>
      <c r="IE192" s="1"/>
      <c r="IF192" s="1"/>
      <c r="IG192" s="1"/>
      <c r="IH192" s="1"/>
      <c r="II192" s="1"/>
      <c r="IJ192" s="1"/>
      <c r="IK192" s="1"/>
      <c r="IL192" s="1"/>
      <c r="IM192" s="1"/>
      <c r="IN192" s="1"/>
      <c r="IO192" s="1"/>
      <c r="IP192" s="1"/>
      <c r="IQ192" s="1"/>
      <c r="IR192" s="1"/>
      <c r="IS192" s="1"/>
      <c r="IT192" s="1"/>
      <c r="IU192" s="1"/>
    </row>
    <row r="193" spans="14:255" s="30" customFormat="1" ht="12.95" customHeight="1" x14ac:dyDescent="0.2">
      <c r="N193" s="31"/>
      <c r="IB193" s="1"/>
      <c r="IC193" s="1"/>
      <c r="ID193" s="1"/>
      <c r="IE193" s="1"/>
      <c r="IF193" s="1"/>
      <c r="IG193" s="1"/>
      <c r="IH193" s="1"/>
      <c r="II193" s="1"/>
      <c r="IJ193" s="1"/>
      <c r="IK193" s="1"/>
      <c r="IL193" s="1"/>
      <c r="IM193" s="1"/>
      <c r="IN193" s="1"/>
      <c r="IO193" s="1"/>
      <c r="IP193" s="1"/>
      <c r="IQ193" s="1"/>
      <c r="IR193" s="1"/>
      <c r="IS193" s="1"/>
      <c r="IT193" s="1"/>
      <c r="IU193" s="1"/>
    </row>
    <row r="194" spans="14:255" s="30" customFormat="1" ht="12.95" customHeight="1" x14ac:dyDescent="0.2">
      <c r="N194" s="31"/>
      <c r="IB194" s="1"/>
      <c r="IC194" s="1"/>
      <c r="ID194" s="1"/>
      <c r="IE194" s="1"/>
      <c r="IF194" s="1"/>
      <c r="IG194" s="1"/>
      <c r="IH194" s="1"/>
      <c r="II194" s="1"/>
      <c r="IJ194" s="1"/>
      <c r="IK194" s="1"/>
      <c r="IL194" s="1"/>
      <c r="IM194" s="1"/>
      <c r="IN194" s="1"/>
      <c r="IO194" s="1"/>
      <c r="IP194" s="1"/>
      <c r="IQ194" s="1"/>
      <c r="IR194" s="1"/>
      <c r="IS194" s="1"/>
      <c r="IT194" s="1"/>
      <c r="IU194" s="1"/>
    </row>
    <row r="195" spans="14:255" s="30" customFormat="1" ht="12.95" customHeight="1" x14ac:dyDescent="0.2">
      <c r="N195" s="31"/>
      <c r="IB195" s="1"/>
      <c r="IC195" s="1"/>
      <c r="ID195" s="1"/>
      <c r="IE195" s="1"/>
      <c r="IF195" s="1"/>
      <c r="IG195" s="1"/>
      <c r="IH195" s="1"/>
      <c r="II195" s="1"/>
      <c r="IJ195" s="1"/>
      <c r="IK195" s="1"/>
      <c r="IL195" s="1"/>
      <c r="IM195" s="1"/>
      <c r="IN195" s="1"/>
      <c r="IO195" s="1"/>
      <c r="IP195" s="1"/>
      <c r="IQ195" s="1"/>
      <c r="IR195" s="1"/>
      <c r="IS195" s="1"/>
      <c r="IT195" s="1"/>
      <c r="IU195" s="1"/>
    </row>
    <row r="196" spans="14:255" s="30" customFormat="1" ht="12.95" customHeight="1" x14ac:dyDescent="0.2">
      <c r="N196" s="31"/>
      <c r="IB196" s="1"/>
      <c r="IC196" s="1"/>
      <c r="ID196" s="1"/>
      <c r="IE196" s="1"/>
      <c r="IF196" s="1"/>
      <c r="IG196" s="1"/>
      <c r="IH196" s="1"/>
      <c r="II196" s="1"/>
      <c r="IJ196" s="1"/>
      <c r="IK196" s="1"/>
      <c r="IL196" s="1"/>
      <c r="IM196" s="1"/>
      <c r="IN196" s="1"/>
      <c r="IO196" s="1"/>
      <c r="IP196" s="1"/>
      <c r="IQ196" s="1"/>
      <c r="IR196" s="1"/>
      <c r="IS196" s="1"/>
      <c r="IT196" s="1"/>
      <c r="IU196" s="1"/>
    </row>
    <row r="197" spans="14:255" s="30" customFormat="1" ht="12.95" customHeight="1" x14ac:dyDescent="0.2">
      <c r="N197" s="31"/>
      <c r="IB197" s="1"/>
      <c r="IC197" s="1"/>
      <c r="ID197" s="1"/>
      <c r="IE197" s="1"/>
      <c r="IF197" s="1"/>
      <c r="IG197" s="1"/>
      <c r="IH197" s="1"/>
      <c r="II197" s="1"/>
      <c r="IJ197" s="1"/>
      <c r="IK197" s="1"/>
      <c r="IL197" s="1"/>
      <c r="IM197" s="1"/>
      <c r="IN197" s="1"/>
      <c r="IO197" s="1"/>
      <c r="IP197" s="1"/>
      <c r="IQ197" s="1"/>
      <c r="IR197" s="1"/>
      <c r="IS197" s="1"/>
      <c r="IT197" s="1"/>
      <c r="IU197" s="1"/>
    </row>
    <row r="198" spans="14:255" s="30" customFormat="1" ht="12.95" customHeight="1" x14ac:dyDescent="0.2">
      <c r="N198" s="31"/>
      <c r="IB198" s="1"/>
      <c r="IC198" s="1"/>
      <c r="ID198" s="1"/>
      <c r="IE198" s="1"/>
      <c r="IF198" s="1"/>
      <c r="IG198" s="1"/>
      <c r="IH198" s="1"/>
      <c r="II198" s="1"/>
      <c r="IJ198" s="1"/>
      <c r="IK198" s="1"/>
      <c r="IL198" s="1"/>
      <c r="IM198" s="1"/>
      <c r="IN198" s="1"/>
      <c r="IO198" s="1"/>
      <c r="IP198" s="1"/>
      <c r="IQ198" s="1"/>
      <c r="IR198" s="1"/>
      <c r="IS198" s="1"/>
      <c r="IT198" s="1"/>
      <c r="IU198" s="1"/>
    </row>
    <row r="199" spans="14:255" s="30" customFormat="1" ht="12.95" customHeight="1" x14ac:dyDescent="0.2">
      <c r="N199" s="31"/>
      <c r="IB199" s="1"/>
      <c r="IC199" s="1"/>
      <c r="ID199" s="1"/>
      <c r="IE199" s="1"/>
      <c r="IF199" s="1"/>
      <c r="IG199" s="1"/>
      <c r="IH199" s="1"/>
      <c r="II199" s="1"/>
      <c r="IJ199" s="1"/>
      <c r="IK199" s="1"/>
      <c r="IL199" s="1"/>
      <c r="IM199" s="1"/>
      <c r="IN199" s="1"/>
      <c r="IO199" s="1"/>
      <c r="IP199" s="1"/>
      <c r="IQ199" s="1"/>
      <c r="IR199" s="1"/>
      <c r="IS199" s="1"/>
      <c r="IT199" s="1"/>
      <c r="IU199" s="1"/>
    </row>
    <row r="200" spans="14:255" s="30" customFormat="1" ht="12.95" customHeight="1" x14ac:dyDescent="0.2">
      <c r="N200" s="31"/>
      <c r="IB200" s="1"/>
      <c r="IC200" s="1"/>
      <c r="ID200" s="1"/>
      <c r="IE200" s="1"/>
      <c r="IF200" s="1"/>
      <c r="IG200" s="1"/>
      <c r="IH200" s="1"/>
      <c r="II200" s="1"/>
      <c r="IJ200" s="1"/>
      <c r="IK200" s="1"/>
      <c r="IL200" s="1"/>
      <c r="IM200" s="1"/>
      <c r="IN200" s="1"/>
      <c r="IO200" s="1"/>
      <c r="IP200" s="1"/>
      <c r="IQ200" s="1"/>
      <c r="IR200" s="1"/>
      <c r="IS200" s="1"/>
      <c r="IT200" s="1"/>
      <c r="IU200" s="1"/>
    </row>
    <row r="201" spans="14:255" s="30" customFormat="1" ht="12.95" customHeight="1" x14ac:dyDescent="0.2">
      <c r="N201" s="31"/>
      <c r="IB201" s="1"/>
      <c r="IC201" s="1"/>
      <c r="ID201" s="1"/>
      <c r="IE201" s="1"/>
      <c r="IF201" s="1"/>
      <c r="IG201" s="1"/>
      <c r="IH201" s="1"/>
      <c r="II201" s="1"/>
      <c r="IJ201" s="1"/>
      <c r="IK201" s="1"/>
      <c r="IL201" s="1"/>
      <c r="IM201" s="1"/>
      <c r="IN201" s="1"/>
      <c r="IO201" s="1"/>
      <c r="IP201" s="1"/>
      <c r="IQ201" s="1"/>
      <c r="IR201" s="1"/>
      <c r="IS201" s="1"/>
      <c r="IT201" s="1"/>
      <c r="IU201" s="1"/>
    </row>
    <row r="202" spans="14:255" s="30" customFormat="1" ht="12.95" customHeight="1" x14ac:dyDescent="0.2">
      <c r="N202" s="31"/>
      <c r="IB202" s="1"/>
      <c r="IC202" s="1"/>
      <c r="ID202" s="1"/>
      <c r="IE202" s="1"/>
      <c r="IF202" s="1"/>
      <c r="IG202" s="1"/>
      <c r="IH202" s="1"/>
      <c r="II202" s="1"/>
      <c r="IJ202" s="1"/>
      <c r="IK202" s="1"/>
      <c r="IL202" s="1"/>
      <c r="IM202" s="1"/>
      <c r="IN202" s="1"/>
      <c r="IO202" s="1"/>
      <c r="IP202" s="1"/>
      <c r="IQ202" s="1"/>
      <c r="IR202" s="1"/>
      <c r="IS202" s="1"/>
      <c r="IT202" s="1"/>
      <c r="IU202" s="1"/>
    </row>
    <row r="203" spans="14:255" s="30" customFormat="1" ht="12.95" customHeight="1" x14ac:dyDescent="0.2">
      <c r="N203" s="31"/>
      <c r="IB203" s="1"/>
      <c r="IC203" s="1"/>
      <c r="ID203" s="1"/>
      <c r="IE203" s="1"/>
      <c r="IF203" s="1"/>
      <c r="IG203" s="1"/>
      <c r="IH203" s="1"/>
      <c r="II203" s="1"/>
      <c r="IJ203" s="1"/>
      <c r="IK203" s="1"/>
      <c r="IL203" s="1"/>
      <c r="IM203" s="1"/>
      <c r="IN203" s="1"/>
      <c r="IO203" s="1"/>
      <c r="IP203" s="1"/>
      <c r="IQ203" s="1"/>
      <c r="IR203" s="1"/>
      <c r="IS203" s="1"/>
      <c r="IT203" s="1"/>
      <c r="IU203" s="1"/>
    </row>
    <row r="204" spans="14:255" s="30" customFormat="1" ht="12.95" customHeight="1" x14ac:dyDescent="0.2">
      <c r="N204" s="31"/>
      <c r="IB204" s="1"/>
      <c r="IC204" s="1"/>
      <c r="ID204" s="1"/>
      <c r="IE204" s="1"/>
      <c r="IF204" s="1"/>
      <c r="IG204" s="1"/>
      <c r="IH204" s="1"/>
      <c r="II204" s="1"/>
      <c r="IJ204" s="1"/>
      <c r="IK204" s="1"/>
      <c r="IL204" s="1"/>
      <c r="IM204" s="1"/>
      <c r="IN204" s="1"/>
      <c r="IO204" s="1"/>
      <c r="IP204" s="1"/>
      <c r="IQ204" s="1"/>
      <c r="IR204" s="1"/>
      <c r="IS204" s="1"/>
      <c r="IT204" s="1"/>
      <c r="IU204" s="1"/>
    </row>
    <row r="205" spans="14:255" s="30" customFormat="1" ht="12.95" customHeight="1" x14ac:dyDescent="0.2">
      <c r="N205" s="31"/>
      <c r="IB205" s="1"/>
      <c r="IC205" s="1"/>
      <c r="ID205" s="1"/>
      <c r="IE205" s="1"/>
      <c r="IF205" s="1"/>
      <c r="IG205" s="1"/>
      <c r="IH205" s="1"/>
      <c r="II205" s="1"/>
      <c r="IJ205" s="1"/>
      <c r="IK205" s="1"/>
      <c r="IL205" s="1"/>
      <c r="IM205" s="1"/>
      <c r="IN205" s="1"/>
      <c r="IO205" s="1"/>
      <c r="IP205" s="1"/>
      <c r="IQ205" s="1"/>
      <c r="IR205" s="1"/>
      <c r="IS205" s="1"/>
      <c r="IT205" s="1"/>
      <c r="IU205" s="1"/>
    </row>
    <row r="206" spans="14:255" s="30" customFormat="1" ht="12.95" customHeight="1" x14ac:dyDescent="0.2">
      <c r="N206" s="31"/>
      <c r="IB206" s="1"/>
      <c r="IC206" s="1"/>
      <c r="ID206" s="1"/>
      <c r="IE206" s="1"/>
      <c r="IF206" s="1"/>
      <c r="IG206" s="1"/>
      <c r="IH206" s="1"/>
      <c r="II206" s="1"/>
      <c r="IJ206" s="1"/>
      <c r="IK206" s="1"/>
      <c r="IL206" s="1"/>
      <c r="IM206" s="1"/>
      <c r="IN206" s="1"/>
      <c r="IO206" s="1"/>
      <c r="IP206" s="1"/>
      <c r="IQ206" s="1"/>
      <c r="IR206" s="1"/>
      <c r="IS206" s="1"/>
      <c r="IT206" s="1"/>
      <c r="IU206" s="1"/>
    </row>
    <row r="207" spans="14:255" s="30" customFormat="1" ht="12.95" customHeight="1" x14ac:dyDescent="0.2">
      <c r="N207" s="31"/>
      <c r="IB207" s="1"/>
      <c r="IC207" s="1"/>
      <c r="ID207" s="1"/>
      <c r="IE207" s="1"/>
      <c r="IF207" s="1"/>
      <c r="IG207" s="1"/>
      <c r="IH207" s="1"/>
      <c r="II207" s="1"/>
      <c r="IJ207" s="1"/>
      <c r="IK207" s="1"/>
      <c r="IL207" s="1"/>
      <c r="IM207" s="1"/>
      <c r="IN207" s="1"/>
      <c r="IO207" s="1"/>
      <c r="IP207" s="1"/>
      <c r="IQ207" s="1"/>
      <c r="IR207" s="1"/>
      <c r="IS207" s="1"/>
      <c r="IT207" s="1"/>
      <c r="IU207" s="1"/>
    </row>
    <row r="208" spans="14:255" s="30" customFormat="1" ht="12.95" customHeight="1" x14ac:dyDescent="0.2">
      <c r="N208" s="31"/>
      <c r="IB208" s="1"/>
      <c r="IC208" s="1"/>
      <c r="ID208" s="1"/>
      <c r="IE208" s="1"/>
      <c r="IF208" s="1"/>
      <c r="IG208" s="1"/>
      <c r="IH208" s="1"/>
      <c r="II208" s="1"/>
      <c r="IJ208" s="1"/>
      <c r="IK208" s="1"/>
      <c r="IL208" s="1"/>
      <c r="IM208" s="1"/>
      <c r="IN208" s="1"/>
      <c r="IO208" s="1"/>
      <c r="IP208" s="1"/>
      <c r="IQ208" s="1"/>
      <c r="IR208" s="1"/>
      <c r="IS208" s="1"/>
      <c r="IT208" s="1"/>
      <c r="IU208" s="1"/>
    </row>
    <row r="209" spans="14:255" s="30" customFormat="1" ht="12.95" customHeight="1" x14ac:dyDescent="0.2">
      <c r="N209" s="31"/>
      <c r="IB209" s="1"/>
      <c r="IC209" s="1"/>
      <c r="ID209" s="1"/>
      <c r="IE209" s="1"/>
      <c r="IF209" s="1"/>
      <c r="IG209" s="1"/>
      <c r="IH209" s="1"/>
      <c r="II209" s="1"/>
      <c r="IJ209" s="1"/>
      <c r="IK209" s="1"/>
      <c r="IL209" s="1"/>
      <c r="IM209" s="1"/>
      <c r="IN209" s="1"/>
      <c r="IO209" s="1"/>
      <c r="IP209" s="1"/>
      <c r="IQ209" s="1"/>
      <c r="IR209" s="1"/>
      <c r="IS209" s="1"/>
      <c r="IT209" s="1"/>
      <c r="IU209" s="1"/>
    </row>
    <row r="210" spans="14:255" s="30" customFormat="1" ht="12.95" customHeight="1" x14ac:dyDescent="0.2">
      <c r="N210" s="31"/>
      <c r="IB210" s="1"/>
      <c r="IC210" s="1"/>
      <c r="ID210" s="1"/>
      <c r="IE210" s="1"/>
      <c r="IF210" s="1"/>
      <c r="IG210" s="1"/>
      <c r="IH210" s="1"/>
      <c r="II210" s="1"/>
      <c r="IJ210" s="1"/>
      <c r="IK210" s="1"/>
      <c r="IL210" s="1"/>
      <c r="IM210" s="1"/>
      <c r="IN210" s="1"/>
      <c r="IO210" s="1"/>
      <c r="IP210" s="1"/>
      <c r="IQ210" s="1"/>
      <c r="IR210" s="1"/>
      <c r="IS210" s="1"/>
      <c r="IT210" s="1"/>
      <c r="IU210" s="1"/>
    </row>
    <row r="211" spans="14:255" s="30" customFormat="1" ht="12.95" customHeight="1" x14ac:dyDescent="0.2">
      <c r="N211" s="31"/>
      <c r="IB211" s="1"/>
      <c r="IC211" s="1"/>
      <c r="ID211" s="1"/>
      <c r="IE211" s="1"/>
      <c r="IF211" s="1"/>
      <c r="IG211" s="1"/>
      <c r="IH211" s="1"/>
      <c r="II211" s="1"/>
      <c r="IJ211" s="1"/>
      <c r="IK211" s="1"/>
      <c r="IL211" s="1"/>
      <c r="IM211" s="1"/>
      <c r="IN211" s="1"/>
      <c r="IO211" s="1"/>
      <c r="IP211" s="1"/>
      <c r="IQ211" s="1"/>
      <c r="IR211" s="1"/>
      <c r="IS211" s="1"/>
      <c r="IT211" s="1"/>
      <c r="IU211" s="1"/>
    </row>
    <row r="212" spans="14:255" s="30" customFormat="1" ht="12.95" customHeight="1" x14ac:dyDescent="0.2">
      <c r="N212" s="31"/>
      <c r="IB212" s="1"/>
      <c r="IC212" s="1"/>
      <c r="ID212" s="1"/>
      <c r="IE212" s="1"/>
      <c r="IF212" s="1"/>
      <c r="IG212" s="1"/>
      <c r="IH212" s="1"/>
      <c r="II212" s="1"/>
      <c r="IJ212" s="1"/>
      <c r="IK212" s="1"/>
      <c r="IL212" s="1"/>
      <c r="IM212" s="1"/>
      <c r="IN212" s="1"/>
      <c r="IO212" s="1"/>
      <c r="IP212" s="1"/>
      <c r="IQ212" s="1"/>
      <c r="IR212" s="1"/>
      <c r="IS212" s="1"/>
      <c r="IT212" s="1"/>
      <c r="IU212" s="1"/>
    </row>
    <row r="213" spans="14:255" s="30" customFormat="1" ht="12.95" customHeight="1" x14ac:dyDescent="0.2">
      <c r="N213" s="31"/>
      <c r="IB213" s="1"/>
      <c r="IC213" s="1"/>
      <c r="ID213" s="1"/>
      <c r="IE213" s="1"/>
      <c r="IF213" s="1"/>
      <c r="IG213" s="1"/>
      <c r="IH213" s="1"/>
      <c r="II213" s="1"/>
      <c r="IJ213" s="1"/>
      <c r="IK213" s="1"/>
      <c r="IL213" s="1"/>
      <c r="IM213" s="1"/>
      <c r="IN213" s="1"/>
      <c r="IO213" s="1"/>
      <c r="IP213" s="1"/>
      <c r="IQ213" s="1"/>
      <c r="IR213" s="1"/>
      <c r="IS213" s="1"/>
      <c r="IT213" s="1"/>
      <c r="IU213" s="1"/>
    </row>
    <row r="214" spans="14:255" s="30" customFormat="1" ht="12.95" customHeight="1" x14ac:dyDescent="0.2">
      <c r="N214" s="31"/>
      <c r="IB214" s="1"/>
      <c r="IC214" s="1"/>
      <c r="ID214" s="1"/>
      <c r="IE214" s="1"/>
      <c r="IF214" s="1"/>
      <c r="IG214" s="1"/>
      <c r="IH214" s="1"/>
      <c r="II214" s="1"/>
      <c r="IJ214" s="1"/>
      <c r="IK214" s="1"/>
      <c r="IL214" s="1"/>
      <c r="IM214" s="1"/>
      <c r="IN214" s="1"/>
      <c r="IO214" s="1"/>
      <c r="IP214" s="1"/>
      <c r="IQ214" s="1"/>
      <c r="IR214" s="1"/>
      <c r="IS214" s="1"/>
      <c r="IT214" s="1"/>
      <c r="IU214" s="1"/>
    </row>
    <row r="215" spans="14:255" s="30" customFormat="1" ht="12.95" customHeight="1" x14ac:dyDescent="0.2">
      <c r="N215" s="31"/>
      <c r="IB215" s="1"/>
      <c r="IC215" s="1"/>
      <c r="ID215" s="1"/>
      <c r="IE215" s="1"/>
      <c r="IF215" s="1"/>
      <c r="IG215" s="1"/>
      <c r="IH215" s="1"/>
      <c r="II215" s="1"/>
      <c r="IJ215" s="1"/>
      <c r="IK215" s="1"/>
      <c r="IL215" s="1"/>
      <c r="IM215" s="1"/>
      <c r="IN215" s="1"/>
      <c r="IO215" s="1"/>
      <c r="IP215" s="1"/>
      <c r="IQ215" s="1"/>
      <c r="IR215" s="1"/>
      <c r="IS215" s="1"/>
      <c r="IT215" s="1"/>
      <c r="IU215" s="1"/>
    </row>
    <row r="216" spans="14:255" s="30" customFormat="1" ht="12.95" customHeight="1" x14ac:dyDescent="0.2">
      <c r="N216" s="31"/>
      <c r="IB216" s="1"/>
      <c r="IC216" s="1"/>
      <c r="ID216" s="1"/>
      <c r="IE216" s="1"/>
      <c r="IF216" s="1"/>
      <c r="IG216" s="1"/>
      <c r="IH216" s="1"/>
      <c r="II216" s="1"/>
      <c r="IJ216" s="1"/>
      <c r="IK216" s="1"/>
      <c r="IL216" s="1"/>
      <c r="IM216" s="1"/>
      <c r="IN216" s="1"/>
      <c r="IO216" s="1"/>
      <c r="IP216" s="1"/>
      <c r="IQ216" s="1"/>
      <c r="IR216" s="1"/>
      <c r="IS216" s="1"/>
      <c r="IT216" s="1"/>
      <c r="IU216" s="1"/>
    </row>
    <row r="217" spans="14:255" s="30" customFormat="1" ht="12.95" customHeight="1" x14ac:dyDescent="0.2">
      <c r="N217" s="31"/>
      <c r="IB217" s="1"/>
      <c r="IC217" s="1"/>
      <c r="ID217" s="1"/>
      <c r="IE217" s="1"/>
      <c r="IF217" s="1"/>
      <c r="IG217" s="1"/>
      <c r="IH217" s="1"/>
      <c r="II217" s="1"/>
      <c r="IJ217" s="1"/>
      <c r="IK217" s="1"/>
      <c r="IL217" s="1"/>
      <c r="IM217" s="1"/>
      <c r="IN217" s="1"/>
      <c r="IO217" s="1"/>
      <c r="IP217" s="1"/>
      <c r="IQ217" s="1"/>
      <c r="IR217" s="1"/>
      <c r="IS217" s="1"/>
      <c r="IT217" s="1"/>
      <c r="IU217" s="1"/>
    </row>
    <row r="218" spans="14:255" s="30" customFormat="1" ht="12.95" customHeight="1" x14ac:dyDescent="0.2">
      <c r="N218" s="31"/>
      <c r="IB218" s="1"/>
      <c r="IC218" s="1"/>
      <c r="ID218" s="1"/>
      <c r="IE218" s="1"/>
      <c r="IF218" s="1"/>
      <c r="IG218" s="1"/>
      <c r="IH218" s="1"/>
      <c r="II218" s="1"/>
      <c r="IJ218" s="1"/>
      <c r="IK218" s="1"/>
      <c r="IL218" s="1"/>
      <c r="IM218" s="1"/>
      <c r="IN218" s="1"/>
      <c r="IO218" s="1"/>
      <c r="IP218" s="1"/>
      <c r="IQ218" s="1"/>
      <c r="IR218" s="1"/>
      <c r="IS218" s="1"/>
      <c r="IT218" s="1"/>
      <c r="IU218" s="1"/>
    </row>
    <row r="219" spans="14:255" s="30" customFormat="1" ht="12.95" customHeight="1" x14ac:dyDescent="0.2">
      <c r="N219" s="31"/>
      <c r="IB219" s="1"/>
      <c r="IC219" s="1"/>
      <c r="ID219" s="1"/>
      <c r="IE219" s="1"/>
      <c r="IF219" s="1"/>
      <c r="IG219" s="1"/>
      <c r="IH219" s="1"/>
      <c r="II219" s="1"/>
      <c r="IJ219" s="1"/>
      <c r="IK219" s="1"/>
      <c r="IL219" s="1"/>
      <c r="IM219" s="1"/>
      <c r="IN219" s="1"/>
      <c r="IO219" s="1"/>
      <c r="IP219" s="1"/>
      <c r="IQ219" s="1"/>
      <c r="IR219" s="1"/>
      <c r="IS219" s="1"/>
      <c r="IT219" s="1"/>
      <c r="IU219" s="1"/>
    </row>
    <row r="220" spans="14:255" s="30" customFormat="1" ht="12.95" customHeight="1" x14ac:dyDescent="0.2">
      <c r="N220" s="31"/>
      <c r="IB220" s="1"/>
      <c r="IC220" s="1"/>
      <c r="ID220" s="1"/>
      <c r="IE220" s="1"/>
      <c r="IF220" s="1"/>
      <c r="IG220" s="1"/>
      <c r="IH220" s="1"/>
      <c r="II220" s="1"/>
      <c r="IJ220" s="1"/>
      <c r="IK220" s="1"/>
      <c r="IL220" s="1"/>
      <c r="IM220" s="1"/>
      <c r="IN220" s="1"/>
      <c r="IO220" s="1"/>
      <c r="IP220" s="1"/>
      <c r="IQ220" s="1"/>
      <c r="IR220" s="1"/>
      <c r="IS220" s="1"/>
      <c r="IT220" s="1"/>
      <c r="IU220" s="1"/>
    </row>
    <row r="221" spans="14:255" s="30" customFormat="1" ht="12.95" customHeight="1" x14ac:dyDescent="0.2">
      <c r="N221" s="31"/>
      <c r="IB221" s="1"/>
      <c r="IC221" s="1"/>
      <c r="ID221" s="1"/>
      <c r="IE221" s="1"/>
      <c r="IF221" s="1"/>
      <c r="IG221" s="1"/>
      <c r="IH221" s="1"/>
      <c r="II221" s="1"/>
      <c r="IJ221" s="1"/>
      <c r="IK221" s="1"/>
      <c r="IL221" s="1"/>
      <c r="IM221" s="1"/>
      <c r="IN221" s="1"/>
      <c r="IO221" s="1"/>
      <c r="IP221" s="1"/>
      <c r="IQ221" s="1"/>
      <c r="IR221" s="1"/>
      <c r="IS221" s="1"/>
      <c r="IT221" s="1"/>
      <c r="IU221" s="1"/>
    </row>
    <row r="222" spans="14:255" s="30" customFormat="1" ht="12.95" customHeight="1" x14ac:dyDescent="0.2">
      <c r="N222" s="31"/>
      <c r="IB222" s="1"/>
      <c r="IC222" s="1"/>
      <c r="ID222" s="1"/>
      <c r="IE222" s="1"/>
      <c r="IF222" s="1"/>
      <c r="IG222" s="1"/>
      <c r="IH222" s="1"/>
      <c r="II222" s="1"/>
      <c r="IJ222" s="1"/>
      <c r="IK222" s="1"/>
      <c r="IL222" s="1"/>
      <c r="IM222" s="1"/>
      <c r="IN222" s="1"/>
      <c r="IO222" s="1"/>
      <c r="IP222" s="1"/>
      <c r="IQ222" s="1"/>
      <c r="IR222" s="1"/>
      <c r="IS222" s="1"/>
      <c r="IT222" s="1"/>
      <c r="IU222" s="1"/>
    </row>
    <row r="223" spans="14:255" s="30" customFormat="1" ht="12.95" customHeight="1" x14ac:dyDescent="0.2">
      <c r="N223" s="31"/>
      <c r="IB223" s="1"/>
      <c r="IC223" s="1"/>
      <c r="ID223" s="1"/>
      <c r="IE223" s="1"/>
      <c r="IF223" s="1"/>
      <c r="IG223" s="1"/>
      <c r="IH223" s="1"/>
      <c r="II223" s="1"/>
      <c r="IJ223" s="1"/>
      <c r="IK223" s="1"/>
      <c r="IL223" s="1"/>
      <c r="IM223" s="1"/>
      <c r="IN223" s="1"/>
      <c r="IO223" s="1"/>
      <c r="IP223" s="1"/>
      <c r="IQ223" s="1"/>
      <c r="IR223" s="1"/>
      <c r="IS223" s="1"/>
      <c r="IT223" s="1"/>
      <c r="IU223" s="1"/>
    </row>
    <row r="224" spans="14:255" s="30" customFormat="1" ht="12.95" customHeight="1" x14ac:dyDescent="0.2">
      <c r="N224" s="31"/>
      <c r="IB224" s="1"/>
      <c r="IC224" s="1"/>
      <c r="ID224" s="1"/>
      <c r="IE224" s="1"/>
      <c r="IF224" s="1"/>
      <c r="IG224" s="1"/>
      <c r="IH224" s="1"/>
      <c r="II224" s="1"/>
      <c r="IJ224" s="1"/>
      <c r="IK224" s="1"/>
      <c r="IL224" s="1"/>
      <c r="IM224" s="1"/>
      <c r="IN224" s="1"/>
      <c r="IO224" s="1"/>
      <c r="IP224" s="1"/>
      <c r="IQ224" s="1"/>
      <c r="IR224" s="1"/>
      <c r="IS224" s="1"/>
      <c r="IT224" s="1"/>
      <c r="IU224" s="1"/>
    </row>
    <row r="225" spans="14:255" s="30" customFormat="1" ht="12.95" customHeight="1" x14ac:dyDescent="0.2">
      <c r="N225" s="31"/>
      <c r="IB225" s="1"/>
      <c r="IC225" s="1"/>
      <c r="ID225" s="1"/>
      <c r="IE225" s="1"/>
      <c r="IF225" s="1"/>
      <c r="IG225" s="1"/>
      <c r="IH225" s="1"/>
      <c r="II225" s="1"/>
      <c r="IJ225" s="1"/>
      <c r="IK225" s="1"/>
      <c r="IL225" s="1"/>
      <c r="IM225" s="1"/>
      <c r="IN225" s="1"/>
      <c r="IO225" s="1"/>
      <c r="IP225" s="1"/>
      <c r="IQ225" s="1"/>
      <c r="IR225" s="1"/>
      <c r="IS225" s="1"/>
      <c r="IT225" s="1"/>
      <c r="IU225" s="1"/>
    </row>
    <row r="226" spans="14:255" s="30" customFormat="1" ht="12.95" customHeight="1" x14ac:dyDescent="0.2">
      <c r="N226" s="31"/>
      <c r="IB226" s="1"/>
      <c r="IC226" s="1"/>
      <c r="ID226" s="1"/>
      <c r="IE226" s="1"/>
      <c r="IF226" s="1"/>
      <c r="IG226" s="1"/>
      <c r="IH226" s="1"/>
      <c r="II226" s="1"/>
      <c r="IJ226" s="1"/>
      <c r="IK226" s="1"/>
      <c r="IL226" s="1"/>
      <c r="IM226" s="1"/>
      <c r="IN226" s="1"/>
      <c r="IO226" s="1"/>
      <c r="IP226" s="1"/>
      <c r="IQ226" s="1"/>
      <c r="IR226" s="1"/>
      <c r="IS226" s="1"/>
      <c r="IT226" s="1"/>
      <c r="IU226" s="1"/>
    </row>
    <row r="227" spans="14:255" s="30" customFormat="1" ht="12.95" customHeight="1" x14ac:dyDescent="0.2">
      <c r="N227" s="31"/>
      <c r="IB227" s="1"/>
      <c r="IC227" s="1"/>
      <c r="ID227" s="1"/>
      <c r="IE227" s="1"/>
      <c r="IF227" s="1"/>
      <c r="IG227" s="1"/>
      <c r="IH227" s="1"/>
      <c r="II227" s="1"/>
      <c r="IJ227" s="1"/>
      <c r="IK227" s="1"/>
      <c r="IL227" s="1"/>
      <c r="IM227" s="1"/>
      <c r="IN227" s="1"/>
      <c r="IO227" s="1"/>
      <c r="IP227" s="1"/>
      <c r="IQ227" s="1"/>
      <c r="IR227" s="1"/>
      <c r="IS227" s="1"/>
      <c r="IT227" s="1"/>
      <c r="IU227" s="1"/>
    </row>
    <row r="228" spans="14:255" s="30" customFormat="1" ht="12.95" customHeight="1" x14ac:dyDescent="0.2">
      <c r="N228" s="31"/>
      <c r="IB228" s="1"/>
      <c r="IC228" s="1"/>
      <c r="ID228" s="1"/>
      <c r="IE228" s="1"/>
      <c r="IF228" s="1"/>
      <c r="IG228" s="1"/>
      <c r="IH228" s="1"/>
      <c r="II228" s="1"/>
      <c r="IJ228" s="1"/>
      <c r="IK228" s="1"/>
      <c r="IL228" s="1"/>
      <c r="IM228" s="1"/>
      <c r="IN228" s="1"/>
      <c r="IO228" s="1"/>
      <c r="IP228" s="1"/>
      <c r="IQ228" s="1"/>
      <c r="IR228" s="1"/>
      <c r="IS228" s="1"/>
      <c r="IT228" s="1"/>
      <c r="IU228" s="1"/>
    </row>
    <row r="229" spans="14:255" s="30" customFormat="1" ht="12.95" customHeight="1" x14ac:dyDescent="0.2">
      <c r="N229" s="31"/>
      <c r="IB229" s="1"/>
      <c r="IC229" s="1"/>
      <c r="ID229" s="1"/>
      <c r="IE229" s="1"/>
      <c r="IF229" s="1"/>
      <c r="IG229" s="1"/>
      <c r="IH229" s="1"/>
      <c r="II229" s="1"/>
      <c r="IJ229" s="1"/>
      <c r="IK229" s="1"/>
      <c r="IL229" s="1"/>
      <c r="IM229" s="1"/>
      <c r="IN229" s="1"/>
      <c r="IO229" s="1"/>
      <c r="IP229" s="1"/>
      <c r="IQ229" s="1"/>
      <c r="IR229" s="1"/>
      <c r="IS229" s="1"/>
      <c r="IT229" s="1"/>
      <c r="IU229" s="1"/>
    </row>
    <row r="230" spans="14:255" s="30" customFormat="1" ht="12.95" customHeight="1" x14ac:dyDescent="0.2">
      <c r="N230" s="31"/>
      <c r="IB230" s="1"/>
      <c r="IC230" s="1"/>
      <c r="ID230" s="1"/>
      <c r="IE230" s="1"/>
      <c r="IF230" s="1"/>
      <c r="IG230" s="1"/>
      <c r="IH230" s="1"/>
      <c r="II230" s="1"/>
      <c r="IJ230" s="1"/>
      <c r="IK230" s="1"/>
      <c r="IL230" s="1"/>
      <c r="IM230" s="1"/>
      <c r="IN230" s="1"/>
      <c r="IO230" s="1"/>
      <c r="IP230" s="1"/>
      <c r="IQ230" s="1"/>
      <c r="IR230" s="1"/>
      <c r="IS230" s="1"/>
      <c r="IT230" s="1"/>
      <c r="IU230" s="1"/>
    </row>
    <row r="231" spans="14:255" s="30" customFormat="1" ht="12.95" customHeight="1" x14ac:dyDescent="0.2">
      <c r="N231" s="31"/>
      <c r="IB231" s="1"/>
      <c r="IC231" s="1"/>
      <c r="ID231" s="1"/>
      <c r="IE231" s="1"/>
      <c r="IF231" s="1"/>
      <c r="IG231" s="1"/>
      <c r="IH231" s="1"/>
      <c r="II231" s="1"/>
      <c r="IJ231" s="1"/>
      <c r="IK231" s="1"/>
      <c r="IL231" s="1"/>
      <c r="IM231" s="1"/>
      <c r="IN231" s="1"/>
      <c r="IO231" s="1"/>
      <c r="IP231" s="1"/>
      <c r="IQ231" s="1"/>
      <c r="IR231" s="1"/>
      <c r="IS231" s="1"/>
      <c r="IT231" s="1"/>
      <c r="IU231" s="1"/>
    </row>
    <row r="232" spans="14:255" s="30" customFormat="1" ht="12.95" customHeight="1" x14ac:dyDescent="0.2">
      <c r="N232" s="31"/>
      <c r="IB232" s="1"/>
      <c r="IC232" s="1"/>
      <c r="ID232" s="1"/>
      <c r="IE232" s="1"/>
      <c r="IF232" s="1"/>
      <c r="IG232" s="1"/>
      <c r="IH232" s="1"/>
      <c r="II232" s="1"/>
      <c r="IJ232" s="1"/>
      <c r="IK232" s="1"/>
      <c r="IL232" s="1"/>
      <c r="IM232" s="1"/>
      <c r="IN232" s="1"/>
      <c r="IO232" s="1"/>
      <c r="IP232" s="1"/>
      <c r="IQ232" s="1"/>
      <c r="IR232" s="1"/>
      <c r="IS232" s="1"/>
      <c r="IT232" s="1"/>
      <c r="IU232" s="1"/>
    </row>
    <row r="233" spans="14:255" s="30" customFormat="1" ht="12.95" customHeight="1" x14ac:dyDescent="0.2">
      <c r="N233" s="31"/>
      <c r="IB233" s="1"/>
      <c r="IC233" s="1"/>
      <c r="ID233" s="1"/>
      <c r="IE233" s="1"/>
      <c r="IF233" s="1"/>
      <c r="IG233" s="1"/>
      <c r="IH233" s="1"/>
      <c r="II233" s="1"/>
      <c r="IJ233" s="1"/>
      <c r="IK233" s="1"/>
      <c r="IL233" s="1"/>
      <c r="IM233" s="1"/>
      <c r="IN233" s="1"/>
      <c r="IO233" s="1"/>
      <c r="IP233" s="1"/>
      <c r="IQ233" s="1"/>
      <c r="IR233" s="1"/>
      <c r="IS233" s="1"/>
      <c r="IT233" s="1"/>
      <c r="IU233" s="1"/>
    </row>
    <row r="234" spans="14:255" s="30" customFormat="1" ht="12.95" customHeight="1" x14ac:dyDescent="0.2">
      <c r="N234" s="31"/>
      <c r="IB234" s="1"/>
      <c r="IC234" s="1"/>
      <c r="ID234" s="1"/>
      <c r="IE234" s="1"/>
      <c r="IF234" s="1"/>
      <c r="IG234" s="1"/>
      <c r="IH234" s="1"/>
      <c r="II234" s="1"/>
      <c r="IJ234" s="1"/>
      <c r="IK234" s="1"/>
      <c r="IL234" s="1"/>
      <c r="IM234" s="1"/>
      <c r="IN234" s="1"/>
      <c r="IO234" s="1"/>
      <c r="IP234" s="1"/>
      <c r="IQ234" s="1"/>
      <c r="IR234" s="1"/>
      <c r="IS234" s="1"/>
      <c r="IT234" s="1"/>
      <c r="IU234" s="1"/>
    </row>
    <row r="235" spans="14:255" s="30" customFormat="1" ht="12.95" customHeight="1" x14ac:dyDescent="0.2">
      <c r="N235" s="31"/>
      <c r="IB235" s="1"/>
      <c r="IC235" s="1"/>
      <c r="ID235" s="1"/>
      <c r="IE235" s="1"/>
      <c r="IF235" s="1"/>
      <c r="IG235" s="1"/>
      <c r="IH235" s="1"/>
      <c r="II235" s="1"/>
      <c r="IJ235" s="1"/>
      <c r="IK235" s="1"/>
      <c r="IL235" s="1"/>
      <c r="IM235" s="1"/>
      <c r="IN235" s="1"/>
      <c r="IO235" s="1"/>
      <c r="IP235" s="1"/>
      <c r="IQ235" s="1"/>
      <c r="IR235" s="1"/>
      <c r="IS235" s="1"/>
      <c r="IT235" s="1"/>
      <c r="IU235" s="1"/>
    </row>
    <row r="236" spans="14:255" s="30" customFormat="1" ht="12.95" customHeight="1" x14ac:dyDescent="0.2">
      <c r="N236" s="31"/>
      <c r="IB236" s="1"/>
      <c r="IC236" s="1"/>
      <c r="ID236" s="1"/>
      <c r="IE236" s="1"/>
      <c r="IF236" s="1"/>
      <c r="IG236" s="1"/>
      <c r="IH236" s="1"/>
      <c r="II236" s="1"/>
      <c r="IJ236" s="1"/>
      <c r="IK236" s="1"/>
      <c r="IL236" s="1"/>
      <c r="IM236" s="1"/>
      <c r="IN236" s="1"/>
      <c r="IO236" s="1"/>
      <c r="IP236" s="1"/>
      <c r="IQ236" s="1"/>
      <c r="IR236" s="1"/>
      <c r="IS236" s="1"/>
      <c r="IT236" s="1"/>
      <c r="IU236" s="1"/>
    </row>
    <row r="237" spans="14:255" s="30" customFormat="1" ht="12.95" customHeight="1" x14ac:dyDescent="0.2">
      <c r="N237" s="31"/>
      <c r="IB237" s="1"/>
      <c r="IC237" s="1"/>
      <c r="ID237" s="1"/>
      <c r="IE237" s="1"/>
      <c r="IF237" s="1"/>
      <c r="IG237" s="1"/>
      <c r="IH237" s="1"/>
      <c r="II237" s="1"/>
      <c r="IJ237" s="1"/>
      <c r="IK237" s="1"/>
      <c r="IL237" s="1"/>
      <c r="IM237" s="1"/>
      <c r="IN237" s="1"/>
      <c r="IO237" s="1"/>
      <c r="IP237" s="1"/>
      <c r="IQ237" s="1"/>
      <c r="IR237" s="1"/>
      <c r="IS237" s="1"/>
      <c r="IT237" s="1"/>
      <c r="IU237" s="1"/>
    </row>
    <row r="238" spans="14:255" s="30" customFormat="1" ht="12.95" customHeight="1" x14ac:dyDescent="0.2">
      <c r="N238" s="31"/>
      <c r="IB238" s="1"/>
      <c r="IC238" s="1"/>
      <c r="ID238" s="1"/>
      <c r="IE238" s="1"/>
      <c r="IF238" s="1"/>
      <c r="IG238" s="1"/>
      <c r="IH238" s="1"/>
      <c r="II238" s="1"/>
      <c r="IJ238" s="1"/>
      <c r="IK238" s="1"/>
      <c r="IL238" s="1"/>
      <c r="IM238" s="1"/>
      <c r="IN238" s="1"/>
      <c r="IO238" s="1"/>
      <c r="IP238" s="1"/>
      <c r="IQ238" s="1"/>
      <c r="IR238" s="1"/>
      <c r="IS238" s="1"/>
      <c r="IT238" s="1"/>
      <c r="IU238" s="1"/>
    </row>
    <row r="239" spans="14:255" s="30" customFormat="1" ht="12.95" customHeight="1" x14ac:dyDescent="0.2">
      <c r="N239" s="31"/>
      <c r="IB239" s="1"/>
      <c r="IC239" s="1"/>
      <c r="ID239" s="1"/>
      <c r="IE239" s="1"/>
      <c r="IF239" s="1"/>
      <c r="IG239" s="1"/>
      <c r="IH239" s="1"/>
      <c r="II239" s="1"/>
      <c r="IJ239" s="1"/>
      <c r="IK239" s="1"/>
      <c r="IL239" s="1"/>
      <c r="IM239" s="1"/>
      <c r="IN239" s="1"/>
      <c r="IO239" s="1"/>
      <c r="IP239" s="1"/>
      <c r="IQ239" s="1"/>
      <c r="IR239" s="1"/>
      <c r="IS239" s="1"/>
      <c r="IT239" s="1"/>
      <c r="IU239" s="1"/>
    </row>
    <row r="240" spans="14:255" s="30" customFormat="1" ht="12.95" customHeight="1" x14ac:dyDescent="0.2">
      <c r="N240" s="31"/>
      <c r="IB240" s="1"/>
      <c r="IC240" s="1"/>
      <c r="ID240" s="1"/>
      <c r="IE240" s="1"/>
      <c r="IF240" s="1"/>
      <c r="IG240" s="1"/>
      <c r="IH240" s="1"/>
      <c r="II240" s="1"/>
      <c r="IJ240" s="1"/>
      <c r="IK240" s="1"/>
      <c r="IL240" s="1"/>
      <c r="IM240" s="1"/>
      <c r="IN240" s="1"/>
      <c r="IO240" s="1"/>
      <c r="IP240" s="1"/>
      <c r="IQ240" s="1"/>
      <c r="IR240" s="1"/>
      <c r="IS240" s="1"/>
      <c r="IT240" s="1"/>
      <c r="IU240" s="1"/>
    </row>
    <row r="241" spans="14:255" s="30" customFormat="1" ht="12.95" customHeight="1" x14ac:dyDescent="0.2">
      <c r="N241" s="31"/>
      <c r="IB241" s="1"/>
      <c r="IC241" s="1"/>
      <c r="ID241" s="1"/>
      <c r="IE241" s="1"/>
      <c r="IF241" s="1"/>
      <c r="IG241" s="1"/>
      <c r="IH241" s="1"/>
      <c r="II241" s="1"/>
      <c r="IJ241" s="1"/>
      <c r="IK241" s="1"/>
      <c r="IL241" s="1"/>
      <c r="IM241" s="1"/>
      <c r="IN241" s="1"/>
      <c r="IO241" s="1"/>
      <c r="IP241" s="1"/>
      <c r="IQ241" s="1"/>
      <c r="IR241" s="1"/>
      <c r="IS241" s="1"/>
      <c r="IT241" s="1"/>
      <c r="IU241" s="1"/>
    </row>
    <row r="242" spans="14:255" s="30" customFormat="1" ht="12.95" customHeight="1" x14ac:dyDescent="0.2">
      <c r="N242" s="31"/>
      <c r="IB242" s="1"/>
      <c r="IC242" s="1"/>
      <c r="ID242" s="1"/>
      <c r="IE242" s="1"/>
      <c r="IF242" s="1"/>
      <c r="IG242" s="1"/>
      <c r="IH242" s="1"/>
      <c r="II242" s="1"/>
      <c r="IJ242" s="1"/>
      <c r="IK242" s="1"/>
      <c r="IL242" s="1"/>
      <c r="IM242" s="1"/>
      <c r="IN242" s="1"/>
      <c r="IO242" s="1"/>
      <c r="IP242" s="1"/>
      <c r="IQ242" s="1"/>
      <c r="IR242" s="1"/>
      <c r="IS242" s="1"/>
      <c r="IT242" s="1"/>
      <c r="IU242" s="1"/>
    </row>
    <row r="243" spans="14:255" s="30" customFormat="1" ht="12.95" customHeight="1" x14ac:dyDescent="0.2">
      <c r="N243" s="31"/>
      <c r="IB243" s="1"/>
      <c r="IC243" s="1"/>
      <c r="ID243" s="1"/>
      <c r="IE243" s="1"/>
      <c r="IF243" s="1"/>
      <c r="IG243" s="1"/>
      <c r="IH243" s="1"/>
      <c r="II243" s="1"/>
      <c r="IJ243" s="1"/>
      <c r="IK243" s="1"/>
      <c r="IL243" s="1"/>
      <c r="IM243" s="1"/>
      <c r="IN243" s="1"/>
      <c r="IO243" s="1"/>
      <c r="IP243" s="1"/>
      <c r="IQ243" s="1"/>
      <c r="IR243" s="1"/>
      <c r="IS243" s="1"/>
      <c r="IT243" s="1"/>
      <c r="IU243" s="1"/>
    </row>
    <row r="244" spans="14:255" s="30" customFormat="1" ht="12.95" customHeight="1" x14ac:dyDescent="0.2">
      <c r="N244" s="31"/>
      <c r="IB244" s="1"/>
      <c r="IC244" s="1"/>
      <c r="ID244" s="1"/>
      <c r="IE244" s="1"/>
      <c r="IF244" s="1"/>
      <c r="IG244" s="1"/>
      <c r="IH244" s="1"/>
      <c r="II244" s="1"/>
      <c r="IJ244" s="1"/>
      <c r="IK244" s="1"/>
      <c r="IL244" s="1"/>
      <c r="IM244" s="1"/>
      <c r="IN244" s="1"/>
      <c r="IO244" s="1"/>
      <c r="IP244" s="1"/>
      <c r="IQ244" s="1"/>
      <c r="IR244" s="1"/>
      <c r="IS244" s="1"/>
      <c r="IT244" s="1"/>
      <c r="IU244" s="1"/>
    </row>
    <row r="245" spans="14:255" s="30" customFormat="1" ht="12.95" customHeight="1" x14ac:dyDescent="0.2">
      <c r="N245" s="31"/>
      <c r="IB245" s="1"/>
      <c r="IC245" s="1"/>
      <c r="ID245" s="1"/>
      <c r="IE245" s="1"/>
      <c r="IF245" s="1"/>
      <c r="IG245" s="1"/>
      <c r="IH245" s="1"/>
      <c r="II245" s="1"/>
      <c r="IJ245" s="1"/>
      <c r="IK245" s="1"/>
      <c r="IL245" s="1"/>
      <c r="IM245" s="1"/>
      <c r="IN245" s="1"/>
      <c r="IO245" s="1"/>
      <c r="IP245" s="1"/>
      <c r="IQ245" s="1"/>
      <c r="IR245" s="1"/>
      <c r="IS245" s="1"/>
      <c r="IT245" s="1"/>
      <c r="IU245" s="1"/>
    </row>
    <row r="246" spans="14:255" s="30" customFormat="1" ht="12.95" customHeight="1" x14ac:dyDescent="0.2">
      <c r="N246" s="31"/>
      <c r="IB246" s="1"/>
      <c r="IC246" s="1"/>
      <c r="ID246" s="1"/>
      <c r="IE246" s="1"/>
      <c r="IF246" s="1"/>
      <c r="IG246" s="1"/>
      <c r="IH246" s="1"/>
      <c r="II246" s="1"/>
      <c r="IJ246" s="1"/>
      <c r="IK246" s="1"/>
      <c r="IL246" s="1"/>
      <c r="IM246" s="1"/>
      <c r="IN246" s="1"/>
      <c r="IO246" s="1"/>
      <c r="IP246" s="1"/>
      <c r="IQ246" s="1"/>
      <c r="IR246" s="1"/>
      <c r="IS246" s="1"/>
      <c r="IT246" s="1"/>
      <c r="IU246" s="1"/>
    </row>
    <row r="247" spans="14:255" s="30" customFormat="1" ht="12.95" customHeight="1" x14ac:dyDescent="0.2">
      <c r="N247" s="31"/>
      <c r="IB247" s="1"/>
      <c r="IC247" s="1"/>
      <c r="ID247" s="1"/>
      <c r="IE247" s="1"/>
      <c r="IF247" s="1"/>
      <c r="IG247" s="1"/>
      <c r="IH247" s="1"/>
      <c r="II247" s="1"/>
      <c r="IJ247" s="1"/>
      <c r="IK247" s="1"/>
      <c r="IL247" s="1"/>
      <c r="IM247" s="1"/>
      <c r="IN247" s="1"/>
      <c r="IO247" s="1"/>
      <c r="IP247" s="1"/>
      <c r="IQ247" s="1"/>
      <c r="IR247" s="1"/>
      <c r="IS247" s="1"/>
      <c r="IT247" s="1"/>
      <c r="IU247" s="1"/>
    </row>
    <row r="248" spans="14:255" s="30" customFormat="1" ht="12.95" customHeight="1" x14ac:dyDescent="0.2">
      <c r="N248" s="31"/>
      <c r="IB248" s="1"/>
      <c r="IC248" s="1"/>
      <c r="ID248" s="1"/>
      <c r="IE248" s="1"/>
      <c r="IF248" s="1"/>
      <c r="IG248" s="1"/>
      <c r="IH248" s="1"/>
      <c r="II248" s="1"/>
      <c r="IJ248" s="1"/>
      <c r="IK248" s="1"/>
      <c r="IL248" s="1"/>
      <c r="IM248" s="1"/>
      <c r="IN248" s="1"/>
      <c r="IO248" s="1"/>
      <c r="IP248" s="1"/>
      <c r="IQ248" s="1"/>
      <c r="IR248" s="1"/>
      <c r="IS248" s="1"/>
      <c r="IT248" s="1"/>
      <c r="IU248" s="1"/>
    </row>
    <row r="249" spans="14:255" s="30" customFormat="1" ht="12.95" customHeight="1" x14ac:dyDescent="0.2">
      <c r="N249" s="31"/>
      <c r="IB249" s="1"/>
      <c r="IC249" s="1"/>
      <c r="ID249" s="1"/>
      <c r="IE249" s="1"/>
      <c r="IF249" s="1"/>
      <c r="IG249" s="1"/>
      <c r="IH249" s="1"/>
      <c r="II249" s="1"/>
      <c r="IJ249" s="1"/>
      <c r="IK249" s="1"/>
      <c r="IL249" s="1"/>
      <c r="IM249" s="1"/>
      <c r="IN249" s="1"/>
      <c r="IO249" s="1"/>
      <c r="IP249" s="1"/>
      <c r="IQ249" s="1"/>
      <c r="IR249" s="1"/>
      <c r="IS249" s="1"/>
      <c r="IT249" s="1"/>
      <c r="IU249" s="1"/>
    </row>
    <row r="250" spans="14:255" s="30" customFormat="1" ht="12.95" customHeight="1" x14ac:dyDescent="0.2">
      <c r="N250" s="31"/>
      <c r="IB250" s="1"/>
      <c r="IC250" s="1"/>
      <c r="ID250" s="1"/>
      <c r="IE250" s="1"/>
      <c r="IF250" s="1"/>
      <c r="IG250" s="1"/>
      <c r="IH250" s="1"/>
      <c r="II250" s="1"/>
      <c r="IJ250" s="1"/>
      <c r="IK250" s="1"/>
      <c r="IL250" s="1"/>
      <c r="IM250" s="1"/>
      <c r="IN250" s="1"/>
      <c r="IO250" s="1"/>
      <c r="IP250" s="1"/>
      <c r="IQ250" s="1"/>
      <c r="IR250" s="1"/>
      <c r="IS250" s="1"/>
      <c r="IT250" s="1"/>
      <c r="IU250" s="1"/>
    </row>
    <row r="251" spans="14:255" s="30" customFormat="1" ht="12.95" customHeight="1" x14ac:dyDescent="0.2">
      <c r="N251" s="31"/>
      <c r="IB251" s="1"/>
      <c r="IC251" s="1"/>
      <c r="ID251" s="1"/>
      <c r="IE251" s="1"/>
      <c r="IF251" s="1"/>
      <c r="IG251" s="1"/>
      <c r="IH251" s="1"/>
      <c r="II251" s="1"/>
      <c r="IJ251" s="1"/>
      <c r="IK251" s="1"/>
      <c r="IL251" s="1"/>
      <c r="IM251" s="1"/>
      <c r="IN251" s="1"/>
      <c r="IO251" s="1"/>
      <c r="IP251" s="1"/>
      <c r="IQ251" s="1"/>
      <c r="IR251" s="1"/>
      <c r="IS251" s="1"/>
      <c r="IT251" s="1"/>
      <c r="IU251" s="1"/>
    </row>
    <row r="252" spans="14:255" s="30" customFormat="1" ht="12.95" customHeight="1" x14ac:dyDescent="0.2">
      <c r="N252" s="31"/>
      <c r="IB252" s="1"/>
      <c r="IC252" s="1"/>
      <c r="ID252" s="1"/>
      <c r="IE252" s="1"/>
      <c r="IF252" s="1"/>
      <c r="IG252" s="1"/>
      <c r="IH252" s="1"/>
      <c r="II252" s="1"/>
      <c r="IJ252" s="1"/>
      <c r="IK252" s="1"/>
      <c r="IL252" s="1"/>
      <c r="IM252" s="1"/>
      <c r="IN252" s="1"/>
      <c r="IO252" s="1"/>
      <c r="IP252" s="1"/>
      <c r="IQ252" s="1"/>
      <c r="IR252" s="1"/>
      <c r="IS252" s="1"/>
      <c r="IT252" s="1"/>
      <c r="IU252" s="1"/>
    </row>
    <row r="253" spans="14:255" s="30" customFormat="1" ht="12.95" customHeight="1" x14ac:dyDescent="0.2">
      <c r="N253" s="31"/>
      <c r="IB253" s="1"/>
      <c r="IC253" s="1"/>
      <c r="ID253" s="1"/>
      <c r="IE253" s="1"/>
      <c r="IF253" s="1"/>
      <c r="IG253" s="1"/>
      <c r="IH253" s="1"/>
      <c r="II253" s="1"/>
      <c r="IJ253" s="1"/>
      <c r="IK253" s="1"/>
      <c r="IL253" s="1"/>
      <c r="IM253" s="1"/>
      <c r="IN253" s="1"/>
      <c r="IO253" s="1"/>
      <c r="IP253" s="1"/>
      <c r="IQ253" s="1"/>
      <c r="IR253" s="1"/>
      <c r="IS253" s="1"/>
      <c r="IT253" s="1"/>
      <c r="IU253" s="1"/>
    </row>
    <row r="254" spans="14:255" s="30" customFormat="1" ht="12.95" customHeight="1" x14ac:dyDescent="0.2">
      <c r="N254" s="31"/>
      <c r="IB254" s="1"/>
      <c r="IC254" s="1"/>
      <c r="ID254" s="1"/>
      <c r="IE254" s="1"/>
      <c r="IF254" s="1"/>
      <c r="IG254" s="1"/>
      <c r="IH254" s="1"/>
      <c r="II254" s="1"/>
      <c r="IJ254" s="1"/>
      <c r="IK254" s="1"/>
      <c r="IL254" s="1"/>
      <c r="IM254" s="1"/>
      <c r="IN254" s="1"/>
      <c r="IO254" s="1"/>
      <c r="IP254" s="1"/>
      <c r="IQ254" s="1"/>
      <c r="IR254" s="1"/>
      <c r="IS254" s="1"/>
      <c r="IT254" s="1"/>
      <c r="IU254" s="1"/>
    </row>
    <row r="255" spans="14:255" s="30" customFormat="1" ht="12.95" customHeight="1" x14ac:dyDescent="0.2">
      <c r="N255" s="31"/>
      <c r="IB255" s="1"/>
      <c r="IC255" s="1"/>
      <c r="ID255" s="1"/>
      <c r="IE255" s="1"/>
      <c r="IF255" s="1"/>
      <c r="IG255" s="1"/>
      <c r="IH255" s="1"/>
      <c r="II255" s="1"/>
      <c r="IJ255" s="1"/>
      <c r="IK255" s="1"/>
      <c r="IL255" s="1"/>
      <c r="IM255" s="1"/>
      <c r="IN255" s="1"/>
      <c r="IO255" s="1"/>
      <c r="IP255" s="1"/>
      <c r="IQ255" s="1"/>
      <c r="IR255" s="1"/>
      <c r="IS255" s="1"/>
      <c r="IT255" s="1"/>
      <c r="IU255" s="1"/>
    </row>
    <row r="256" spans="14:255" s="30" customFormat="1" ht="12.95" customHeight="1" x14ac:dyDescent="0.2">
      <c r="N256" s="31"/>
      <c r="IB256" s="1"/>
      <c r="IC256" s="1"/>
      <c r="ID256" s="1"/>
      <c r="IE256" s="1"/>
      <c r="IF256" s="1"/>
      <c r="IG256" s="1"/>
      <c r="IH256" s="1"/>
      <c r="II256" s="1"/>
      <c r="IJ256" s="1"/>
      <c r="IK256" s="1"/>
      <c r="IL256" s="1"/>
      <c r="IM256" s="1"/>
      <c r="IN256" s="1"/>
      <c r="IO256" s="1"/>
      <c r="IP256" s="1"/>
      <c r="IQ256" s="1"/>
      <c r="IR256" s="1"/>
      <c r="IS256" s="1"/>
      <c r="IT256" s="1"/>
      <c r="IU256" s="1"/>
    </row>
    <row r="257" spans="14:255" s="30" customFormat="1" ht="12.95" customHeight="1" x14ac:dyDescent="0.2">
      <c r="N257" s="31"/>
      <c r="IB257" s="1"/>
      <c r="IC257" s="1"/>
      <c r="ID257" s="1"/>
      <c r="IE257" s="1"/>
      <c r="IF257" s="1"/>
      <c r="IG257" s="1"/>
      <c r="IH257" s="1"/>
      <c r="II257" s="1"/>
      <c r="IJ257" s="1"/>
      <c r="IK257" s="1"/>
      <c r="IL257" s="1"/>
      <c r="IM257" s="1"/>
      <c r="IN257" s="1"/>
      <c r="IO257" s="1"/>
      <c r="IP257" s="1"/>
      <c r="IQ257" s="1"/>
      <c r="IR257" s="1"/>
      <c r="IS257" s="1"/>
      <c r="IT257" s="1"/>
      <c r="IU257" s="1"/>
    </row>
    <row r="258" spans="14:255" s="30" customFormat="1" ht="12.95" customHeight="1" x14ac:dyDescent="0.2">
      <c r="N258" s="31"/>
      <c r="IB258" s="1"/>
      <c r="IC258" s="1"/>
      <c r="ID258" s="1"/>
      <c r="IE258" s="1"/>
      <c r="IF258" s="1"/>
      <c r="IG258" s="1"/>
      <c r="IH258" s="1"/>
      <c r="II258" s="1"/>
      <c r="IJ258" s="1"/>
      <c r="IK258" s="1"/>
      <c r="IL258" s="1"/>
      <c r="IM258" s="1"/>
      <c r="IN258" s="1"/>
      <c r="IO258" s="1"/>
      <c r="IP258" s="1"/>
      <c r="IQ258" s="1"/>
      <c r="IR258" s="1"/>
      <c r="IS258" s="1"/>
      <c r="IT258" s="1"/>
      <c r="IU258" s="1"/>
    </row>
    <row r="259" spans="14:255" s="30" customFormat="1" ht="12.95" customHeight="1" x14ac:dyDescent="0.2">
      <c r="N259" s="31"/>
      <c r="IB259" s="1"/>
      <c r="IC259" s="1"/>
      <c r="ID259" s="1"/>
      <c r="IE259" s="1"/>
      <c r="IF259" s="1"/>
      <c r="IG259" s="1"/>
      <c r="IH259" s="1"/>
      <c r="II259" s="1"/>
      <c r="IJ259" s="1"/>
      <c r="IK259" s="1"/>
      <c r="IL259" s="1"/>
      <c r="IM259" s="1"/>
      <c r="IN259" s="1"/>
      <c r="IO259" s="1"/>
      <c r="IP259" s="1"/>
      <c r="IQ259" s="1"/>
      <c r="IR259" s="1"/>
      <c r="IS259" s="1"/>
      <c r="IT259" s="1"/>
      <c r="IU259" s="1"/>
    </row>
    <row r="260" spans="14:255" s="30" customFormat="1" ht="12.95" customHeight="1" x14ac:dyDescent="0.2">
      <c r="N260" s="31"/>
      <c r="IB260" s="1"/>
      <c r="IC260" s="1"/>
      <c r="ID260" s="1"/>
      <c r="IE260" s="1"/>
      <c r="IF260" s="1"/>
      <c r="IG260" s="1"/>
      <c r="IH260" s="1"/>
      <c r="II260" s="1"/>
      <c r="IJ260" s="1"/>
      <c r="IK260" s="1"/>
      <c r="IL260" s="1"/>
      <c r="IM260" s="1"/>
      <c r="IN260" s="1"/>
      <c r="IO260" s="1"/>
      <c r="IP260" s="1"/>
      <c r="IQ260" s="1"/>
      <c r="IR260" s="1"/>
      <c r="IS260" s="1"/>
      <c r="IT260" s="1"/>
      <c r="IU260" s="1"/>
    </row>
    <row r="261" spans="14:255" s="30" customFormat="1" ht="12.95" customHeight="1" x14ac:dyDescent="0.2">
      <c r="N261" s="31"/>
      <c r="IB261" s="1"/>
      <c r="IC261" s="1"/>
      <c r="ID261" s="1"/>
      <c r="IE261" s="1"/>
      <c r="IF261" s="1"/>
      <c r="IG261" s="1"/>
      <c r="IH261" s="1"/>
      <c r="II261" s="1"/>
      <c r="IJ261" s="1"/>
      <c r="IK261" s="1"/>
      <c r="IL261" s="1"/>
      <c r="IM261" s="1"/>
      <c r="IN261" s="1"/>
      <c r="IO261" s="1"/>
      <c r="IP261" s="1"/>
      <c r="IQ261" s="1"/>
      <c r="IR261" s="1"/>
      <c r="IS261" s="1"/>
      <c r="IT261" s="1"/>
      <c r="IU261" s="1"/>
    </row>
    <row r="262" spans="14:255" s="30" customFormat="1" ht="12.95" customHeight="1" x14ac:dyDescent="0.2">
      <c r="N262" s="31"/>
      <c r="IB262" s="1"/>
      <c r="IC262" s="1"/>
      <c r="ID262" s="1"/>
      <c r="IE262" s="1"/>
      <c r="IF262" s="1"/>
      <c r="IG262" s="1"/>
      <c r="IH262" s="1"/>
      <c r="II262" s="1"/>
      <c r="IJ262" s="1"/>
      <c r="IK262" s="1"/>
      <c r="IL262" s="1"/>
      <c r="IM262" s="1"/>
      <c r="IN262" s="1"/>
      <c r="IO262" s="1"/>
      <c r="IP262" s="1"/>
      <c r="IQ262" s="1"/>
      <c r="IR262" s="1"/>
      <c r="IS262" s="1"/>
      <c r="IT262" s="1"/>
      <c r="IU262" s="1"/>
    </row>
    <row r="263" spans="14:255" s="30" customFormat="1" ht="12.95" customHeight="1" x14ac:dyDescent="0.2">
      <c r="N263" s="31"/>
      <c r="IB263" s="1"/>
      <c r="IC263" s="1"/>
      <c r="ID263" s="1"/>
      <c r="IE263" s="1"/>
      <c r="IF263" s="1"/>
      <c r="IG263" s="1"/>
      <c r="IH263" s="1"/>
      <c r="II263" s="1"/>
      <c r="IJ263" s="1"/>
      <c r="IK263" s="1"/>
      <c r="IL263" s="1"/>
      <c r="IM263" s="1"/>
      <c r="IN263" s="1"/>
      <c r="IO263" s="1"/>
      <c r="IP263" s="1"/>
      <c r="IQ263" s="1"/>
      <c r="IR263" s="1"/>
      <c r="IS263" s="1"/>
      <c r="IT263" s="1"/>
      <c r="IU263" s="1"/>
    </row>
    <row r="264" spans="14:255" s="30" customFormat="1" ht="12.95" customHeight="1" x14ac:dyDescent="0.2">
      <c r="N264" s="31"/>
      <c r="IB264" s="1"/>
      <c r="IC264" s="1"/>
      <c r="ID264" s="1"/>
      <c r="IE264" s="1"/>
      <c r="IF264" s="1"/>
      <c r="IG264" s="1"/>
      <c r="IH264" s="1"/>
      <c r="II264" s="1"/>
      <c r="IJ264" s="1"/>
      <c r="IK264" s="1"/>
      <c r="IL264" s="1"/>
      <c r="IM264" s="1"/>
      <c r="IN264" s="1"/>
      <c r="IO264" s="1"/>
      <c r="IP264" s="1"/>
      <c r="IQ264" s="1"/>
      <c r="IR264" s="1"/>
      <c r="IS264" s="1"/>
      <c r="IT264" s="1"/>
      <c r="IU264" s="1"/>
    </row>
    <row r="265" spans="14:255" s="30" customFormat="1" ht="12.95" customHeight="1" x14ac:dyDescent="0.2">
      <c r="N265" s="31"/>
      <c r="IB265" s="1"/>
      <c r="IC265" s="1"/>
      <c r="ID265" s="1"/>
      <c r="IE265" s="1"/>
      <c r="IF265" s="1"/>
      <c r="IG265" s="1"/>
      <c r="IH265" s="1"/>
      <c r="II265" s="1"/>
      <c r="IJ265" s="1"/>
      <c r="IK265" s="1"/>
      <c r="IL265" s="1"/>
      <c r="IM265" s="1"/>
      <c r="IN265" s="1"/>
      <c r="IO265" s="1"/>
      <c r="IP265" s="1"/>
      <c r="IQ265" s="1"/>
      <c r="IR265" s="1"/>
      <c r="IS265" s="1"/>
      <c r="IT265" s="1"/>
      <c r="IU265" s="1"/>
    </row>
    <row r="266" spans="14:255" s="30" customFormat="1" ht="12.95" customHeight="1" x14ac:dyDescent="0.2">
      <c r="N266" s="31"/>
      <c r="IB266" s="1"/>
      <c r="IC266" s="1"/>
      <c r="ID266" s="1"/>
      <c r="IE266" s="1"/>
      <c r="IF266" s="1"/>
      <c r="IG266" s="1"/>
      <c r="IH266" s="1"/>
      <c r="II266" s="1"/>
      <c r="IJ266" s="1"/>
      <c r="IK266" s="1"/>
      <c r="IL266" s="1"/>
      <c r="IM266" s="1"/>
      <c r="IN266" s="1"/>
      <c r="IO266" s="1"/>
      <c r="IP266" s="1"/>
      <c r="IQ266" s="1"/>
      <c r="IR266" s="1"/>
      <c r="IS266" s="1"/>
      <c r="IT266" s="1"/>
      <c r="IU266" s="1"/>
    </row>
    <row r="267" spans="14:255" s="30" customFormat="1" ht="12.95" customHeight="1" x14ac:dyDescent="0.2">
      <c r="N267" s="31"/>
      <c r="IB267" s="1"/>
      <c r="IC267" s="1"/>
      <c r="ID267" s="1"/>
      <c r="IE267" s="1"/>
      <c r="IF267" s="1"/>
      <c r="IG267" s="1"/>
      <c r="IH267" s="1"/>
      <c r="II267" s="1"/>
      <c r="IJ267" s="1"/>
      <c r="IK267" s="1"/>
      <c r="IL267" s="1"/>
      <c r="IM267" s="1"/>
      <c r="IN267" s="1"/>
      <c r="IO267" s="1"/>
      <c r="IP267" s="1"/>
      <c r="IQ267" s="1"/>
      <c r="IR267" s="1"/>
      <c r="IS267" s="1"/>
      <c r="IT267" s="1"/>
      <c r="IU267" s="1"/>
    </row>
    <row r="268" spans="14:255" s="30" customFormat="1" ht="12.95" customHeight="1" x14ac:dyDescent="0.2">
      <c r="N268" s="31"/>
      <c r="IB268" s="1"/>
      <c r="IC268" s="1"/>
      <c r="ID268" s="1"/>
      <c r="IE268" s="1"/>
      <c r="IF268" s="1"/>
      <c r="IG268" s="1"/>
      <c r="IH268" s="1"/>
      <c r="II268" s="1"/>
      <c r="IJ268" s="1"/>
      <c r="IK268" s="1"/>
      <c r="IL268" s="1"/>
      <c r="IM268" s="1"/>
      <c r="IN268" s="1"/>
      <c r="IO268" s="1"/>
      <c r="IP268" s="1"/>
      <c r="IQ268" s="1"/>
      <c r="IR268" s="1"/>
      <c r="IS268" s="1"/>
      <c r="IT268" s="1"/>
      <c r="IU268" s="1"/>
    </row>
    <row r="269" spans="14:255" s="30" customFormat="1" ht="12.95" customHeight="1" x14ac:dyDescent="0.2">
      <c r="N269" s="31"/>
      <c r="IB269" s="1"/>
      <c r="IC269" s="1"/>
      <c r="ID269" s="1"/>
      <c r="IE269" s="1"/>
      <c r="IF269" s="1"/>
      <c r="IG269" s="1"/>
      <c r="IH269" s="1"/>
      <c r="II269" s="1"/>
      <c r="IJ269" s="1"/>
      <c r="IK269" s="1"/>
      <c r="IL269" s="1"/>
      <c r="IM269" s="1"/>
      <c r="IN269" s="1"/>
      <c r="IO269" s="1"/>
      <c r="IP269" s="1"/>
      <c r="IQ269" s="1"/>
      <c r="IR269" s="1"/>
      <c r="IS269" s="1"/>
      <c r="IT269" s="1"/>
      <c r="IU269" s="1"/>
    </row>
    <row r="270" spans="14:255" s="30" customFormat="1" ht="12.95" customHeight="1" x14ac:dyDescent="0.2">
      <c r="N270" s="31"/>
      <c r="IB270" s="1"/>
      <c r="IC270" s="1"/>
      <c r="ID270" s="1"/>
      <c r="IE270" s="1"/>
      <c r="IF270" s="1"/>
      <c r="IG270" s="1"/>
      <c r="IH270" s="1"/>
      <c r="II270" s="1"/>
      <c r="IJ270" s="1"/>
      <c r="IK270" s="1"/>
      <c r="IL270" s="1"/>
      <c r="IM270" s="1"/>
      <c r="IN270" s="1"/>
      <c r="IO270" s="1"/>
      <c r="IP270" s="1"/>
      <c r="IQ270" s="1"/>
      <c r="IR270" s="1"/>
      <c r="IS270" s="1"/>
      <c r="IT270" s="1"/>
      <c r="IU270" s="1"/>
    </row>
    <row r="271" spans="14:255" s="30" customFormat="1" ht="12.95" customHeight="1" x14ac:dyDescent="0.2">
      <c r="N271" s="31"/>
      <c r="IB271" s="1"/>
      <c r="IC271" s="1"/>
      <c r="ID271" s="1"/>
      <c r="IE271" s="1"/>
      <c r="IF271" s="1"/>
      <c r="IG271" s="1"/>
      <c r="IH271" s="1"/>
      <c r="II271" s="1"/>
      <c r="IJ271" s="1"/>
      <c r="IK271" s="1"/>
      <c r="IL271" s="1"/>
      <c r="IM271" s="1"/>
      <c r="IN271" s="1"/>
      <c r="IO271" s="1"/>
      <c r="IP271" s="1"/>
      <c r="IQ271" s="1"/>
      <c r="IR271" s="1"/>
      <c r="IS271" s="1"/>
      <c r="IT271" s="1"/>
      <c r="IU271" s="1"/>
    </row>
    <row r="272" spans="14:255" s="30" customFormat="1" ht="12.95" customHeight="1" x14ac:dyDescent="0.2">
      <c r="N272" s="31"/>
      <c r="IB272" s="1"/>
      <c r="IC272" s="1"/>
      <c r="ID272" s="1"/>
      <c r="IE272" s="1"/>
      <c r="IF272" s="1"/>
      <c r="IG272" s="1"/>
      <c r="IH272" s="1"/>
      <c r="II272" s="1"/>
      <c r="IJ272" s="1"/>
      <c r="IK272" s="1"/>
      <c r="IL272" s="1"/>
      <c r="IM272" s="1"/>
      <c r="IN272" s="1"/>
      <c r="IO272" s="1"/>
      <c r="IP272" s="1"/>
      <c r="IQ272" s="1"/>
      <c r="IR272" s="1"/>
      <c r="IS272" s="1"/>
      <c r="IT272" s="1"/>
      <c r="IU272" s="1"/>
    </row>
    <row r="273" spans="14:255" s="30" customFormat="1" ht="12.95" customHeight="1" x14ac:dyDescent="0.2">
      <c r="N273" s="31"/>
      <c r="IB273" s="1"/>
      <c r="IC273" s="1"/>
      <c r="ID273" s="1"/>
      <c r="IE273" s="1"/>
      <c r="IF273" s="1"/>
      <c r="IG273" s="1"/>
      <c r="IH273" s="1"/>
      <c r="II273" s="1"/>
      <c r="IJ273" s="1"/>
      <c r="IK273" s="1"/>
      <c r="IL273" s="1"/>
      <c r="IM273" s="1"/>
      <c r="IN273" s="1"/>
      <c r="IO273" s="1"/>
      <c r="IP273" s="1"/>
      <c r="IQ273" s="1"/>
      <c r="IR273" s="1"/>
      <c r="IS273" s="1"/>
      <c r="IT273" s="1"/>
      <c r="IU273" s="1"/>
    </row>
    <row r="274" spans="14:255" s="30" customFormat="1" ht="12.95" customHeight="1" x14ac:dyDescent="0.2">
      <c r="N274" s="31"/>
      <c r="IB274" s="1"/>
      <c r="IC274" s="1"/>
      <c r="ID274" s="1"/>
      <c r="IE274" s="1"/>
      <c r="IF274" s="1"/>
      <c r="IG274" s="1"/>
      <c r="IH274" s="1"/>
      <c r="II274" s="1"/>
      <c r="IJ274" s="1"/>
      <c r="IK274" s="1"/>
      <c r="IL274" s="1"/>
      <c r="IM274" s="1"/>
      <c r="IN274" s="1"/>
      <c r="IO274" s="1"/>
      <c r="IP274" s="1"/>
      <c r="IQ274" s="1"/>
      <c r="IR274" s="1"/>
      <c r="IS274" s="1"/>
      <c r="IT274" s="1"/>
      <c r="IU274" s="1"/>
    </row>
    <row r="275" spans="14:255" s="30" customFormat="1" ht="12.95" customHeight="1" x14ac:dyDescent="0.2">
      <c r="N275" s="31"/>
      <c r="IB275" s="1"/>
      <c r="IC275" s="1"/>
      <c r="ID275" s="1"/>
      <c r="IE275" s="1"/>
      <c r="IF275" s="1"/>
      <c r="IG275" s="1"/>
      <c r="IH275" s="1"/>
      <c r="II275" s="1"/>
      <c r="IJ275" s="1"/>
      <c r="IK275" s="1"/>
      <c r="IL275" s="1"/>
      <c r="IM275" s="1"/>
      <c r="IN275" s="1"/>
      <c r="IO275" s="1"/>
      <c r="IP275" s="1"/>
      <c r="IQ275" s="1"/>
      <c r="IR275" s="1"/>
      <c r="IS275" s="1"/>
      <c r="IT275" s="1"/>
      <c r="IU275" s="1"/>
    </row>
    <row r="276" spans="14:255" s="30" customFormat="1" ht="12.95" customHeight="1" x14ac:dyDescent="0.2">
      <c r="N276" s="31"/>
      <c r="IB276" s="1"/>
      <c r="IC276" s="1"/>
      <c r="ID276" s="1"/>
      <c r="IE276" s="1"/>
      <c r="IF276" s="1"/>
      <c r="IG276" s="1"/>
      <c r="IH276" s="1"/>
      <c r="II276" s="1"/>
      <c r="IJ276" s="1"/>
      <c r="IK276" s="1"/>
      <c r="IL276" s="1"/>
      <c r="IM276" s="1"/>
      <c r="IN276" s="1"/>
      <c r="IO276" s="1"/>
      <c r="IP276" s="1"/>
      <c r="IQ276" s="1"/>
      <c r="IR276" s="1"/>
      <c r="IS276" s="1"/>
      <c r="IT276" s="1"/>
      <c r="IU276" s="1"/>
    </row>
    <row r="277" spans="14:255" s="30" customFormat="1" ht="12.95" customHeight="1" x14ac:dyDescent="0.2">
      <c r="N277" s="31"/>
      <c r="IB277" s="1"/>
      <c r="IC277" s="1"/>
      <c r="ID277" s="1"/>
      <c r="IE277" s="1"/>
      <c r="IF277" s="1"/>
      <c r="IG277" s="1"/>
      <c r="IH277" s="1"/>
      <c r="II277" s="1"/>
      <c r="IJ277" s="1"/>
      <c r="IK277" s="1"/>
      <c r="IL277" s="1"/>
      <c r="IM277" s="1"/>
      <c r="IN277" s="1"/>
      <c r="IO277" s="1"/>
      <c r="IP277" s="1"/>
      <c r="IQ277" s="1"/>
      <c r="IR277" s="1"/>
      <c r="IS277" s="1"/>
      <c r="IT277" s="1"/>
      <c r="IU277" s="1"/>
    </row>
    <row r="278" spans="14:255" s="30" customFormat="1" ht="12.95" customHeight="1" x14ac:dyDescent="0.2">
      <c r="N278" s="31"/>
      <c r="IB278" s="1"/>
      <c r="IC278" s="1"/>
      <c r="ID278" s="1"/>
      <c r="IE278" s="1"/>
      <c r="IF278" s="1"/>
      <c r="IG278" s="1"/>
      <c r="IH278" s="1"/>
      <c r="II278" s="1"/>
      <c r="IJ278" s="1"/>
      <c r="IK278" s="1"/>
      <c r="IL278" s="1"/>
      <c r="IM278" s="1"/>
      <c r="IN278" s="1"/>
      <c r="IO278" s="1"/>
      <c r="IP278" s="1"/>
      <c r="IQ278" s="1"/>
      <c r="IR278" s="1"/>
      <c r="IS278" s="1"/>
      <c r="IT278" s="1"/>
      <c r="IU278" s="1"/>
    </row>
    <row r="279" spans="14:255" s="30" customFormat="1" ht="12.95" customHeight="1" x14ac:dyDescent="0.2">
      <c r="N279" s="31"/>
      <c r="IB279" s="1"/>
      <c r="IC279" s="1"/>
      <c r="ID279" s="1"/>
      <c r="IE279" s="1"/>
      <c r="IF279" s="1"/>
      <c r="IG279" s="1"/>
      <c r="IH279" s="1"/>
      <c r="II279" s="1"/>
      <c r="IJ279" s="1"/>
      <c r="IK279" s="1"/>
      <c r="IL279" s="1"/>
      <c r="IM279" s="1"/>
      <c r="IN279" s="1"/>
      <c r="IO279" s="1"/>
      <c r="IP279" s="1"/>
      <c r="IQ279" s="1"/>
      <c r="IR279" s="1"/>
      <c r="IS279" s="1"/>
      <c r="IT279" s="1"/>
      <c r="IU279" s="1"/>
    </row>
    <row r="280" spans="14:255" s="30" customFormat="1" ht="12.95" customHeight="1" x14ac:dyDescent="0.2">
      <c r="N280" s="31"/>
      <c r="IB280" s="1"/>
      <c r="IC280" s="1"/>
      <c r="ID280" s="1"/>
      <c r="IE280" s="1"/>
      <c r="IF280" s="1"/>
      <c r="IG280" s="1"/>
      <c r="IH280" s="1"/>
      <c r="II280" s="1"/>
      <c r="IJ280" s="1"/>
      <c r="IK280" s="1"/>
      <c r="IL280" s="1"/>
      <c r="IM280" s="1"/>
      <c r="IN280" s="1"/>
      <c r="IO280" s="1"/>
      <c r="IP280" s="1"/>
      <c r="IQ280" s="1"/>
      <c r="IR280" s="1"/>
      <c r="IS280" s="1"/>
      <c r="IT280" s="1"/>
      <c r="IU280" s="1"/>
    </row>
    <row r="281" spans="14:255" s="30" customFormat="1" ht="12.95" customHeight="1" x14ac:dyDescent="0.2">
      <c r="N281" s="31"/>
      <c r="IB281" s="1"/>
      <c r="IC281" s="1"/>
      <c r="ID281" s="1"/>
      <c r="IE281" s="1"/>
      <c r="IF281" s="1"/>
      <c r="IG281" s="1"/>
      <c r="IH281" s="1"/>
      <c r="II281" s="1"/>
      <c r="IJ281" s="1"/>
      <c r="IK281" s="1"/>
      <c r="IL281" s="1"/>
      <c r="IM281" s="1"/>
      <c r="IN281" s="1"/>
      <c r="IO281" s="1"/>
      <c r="IP281" s="1"/>
      <c r="IQ281" s="1"/>
      <c r="IR281" s="1"/>
      <c r="IS281" s="1"/>
      <c r="IT281" s="1"/>
      <c r="IU281" s="1"/>
    </row>
    <row r="282" spans="14:255" s="30" customFormat="1" ht="12.95" customHeight="1" x14ac:dyDescent="0.2">
      <c r="N282" s="31"/>
      <c r="IB282" s="1"/>
      <c r="IC282" s="1"/>
      <c r="ID282" s="1"/>
      <c r="IE282" s="1"/>
      <c r="IF282" s="1"/>
      <c r="IG282" s="1"/>
      <c r="IH282" s="1"/>
      <c r="II282" s="1"/>
      <c r="IJ282" s="1"/>
      <c r="IK282" s="1"/>
      <c r="IL282" s="1"/>
      <c r="IM282" s="1"/>
      <c r="IN282" s="1"/>
      <c r="IO282" s="1"/>
      <c r="IP282" s="1"/>
      <c r="IQ282" s="1"/>
      <c r="IR282" s="1"/>
      <c r="IS282" s="1"/>
      <c r="IT282" s="1"/>
      <c r="IU282" s="1"/>
    </row>
    <row r="283" spans="14:255" s="30" customFormat="1" ht="12.95" customHeight="1" x14ac:dyDescent="0.2">
      <c r="N283" s="31"/>
      <c r="IB283" s="1"/>
      <c r="IC283" s="1"/>
      <c r="ID283" s="1"/>
      <c r="IE283" s="1"/>
      <c r="IF283" s="1"/>
      <c r="IG283" s="1"/>
      <c r="IH283" s="1"/>
      <c r="II283" s="1"/>
      <c r="IJ283" s="1"/>
      <c r="IK283" s="1"/>
      <c r="IL283" s="1"/>
      <c r="IM283" s="1"/>
      <c r="IN283" s="1"/>
      <c r="IO283" s="1"/>
      <c r="IP283" s="1"/>
      <c r="IQ283" s="1"/>
      <c r="IR283" s="1"/>
      <c r="IS283" s="1"/>
      <c r="IT283" s="1"/>
      <c r="IU283" s="1"/>
    </row>
    <row r="284" spans="14:255" s="30" customFormat="1" ht="12.95" customHeight="1" x14ac:dyDescent="0.2">
      <c r="N284" s="31"/>
      <c r="IB284" s="1"/>
      <c r="IC284" s="1"/>
      <c r="ID284" s="1"/>
      <c r="IE284" s="1"/>
      <c r="IF284" s="1"/>
      <c r="IG284" s="1"/>
      <c r="IH284" s="1"/>
      <c r="II284" s="1"/>
      <c r="IJ284" s="1"/>
      <c r="IK284" s="1"/>
      <c r="IL284" s="1"/>
      <c r="IM284" s="1"/>
      <c r="IN284" s="1"/>
      <c r="IO284" s="1"/>
      <c r="IP284" s="1"/>
      <c r="IQ284" s="1"/>
      <c r="IR284" s="1"/>
      <c r="IS284" s="1"/>
      <c r="IT284" s="1"/>
      <c r="IU284" s="1"/>
    </row>
    <row r="285" spans="14:255" s="30" customFormat="1" ht="12.95" customHeight="1" x14ac:dyDescent="0.2">
      <c r="N285" s="31"/>
      <c r="IB285" s="1"/>
      <c r="IC285" s="1"/>
      <c r="ID285" s="1"/>
      <c r="IE285" s="1"/>
      <c r="IF285" s="1"/>
      <c r="IG285" s="1"/>
      <c r="IH285" s="1"/>
      <c r="II285" s="1"/>
      <c r="IJ285" s="1"/>
      <c r="IK285" s="1"/>
      <c r="IL285" s="1"/>
      <c r="IM285" s="1"/>
      <c r="IN285" s="1"/>
      <c r="IO285" s="1"/>
      <c r="IP285" s="1"/>
      <c r="IQ285" s="1"/>
      <c r="IR285" s="1"/>
      <c r="IS285" s="1"/>
      <c r="IT285" s="1"/>
      <c r="IU285" s="1"/>
    </row>
    <row r="286" spans="14:255" s="30" customFormat="1" ht="12.95" customHeight="1" x14ac:dyDescent="0.2">
      <c r="N286" s="31"/>
      <c r="IB286" s="1"/>
      <c r="IC286" s="1"/>
      <c r="ID286" s="1"/>
      <c r="IE286" s="1"/>
      <c r="IF286" s="1"/>
      <c r="IG286" s="1"/>
      <c r="IH286" s="1"/>
      <c r="II286" s="1"/>
      <c r="IJ286" s="1"/>
      <c r="IK286" s="1"/>
      <c r="IL286" s="1"/>
      <c r="IM286" s="1"/>
      <c r="IN286" s="1"/>
      <c r="IO286" s="1"/>
      <c r="IP286" s="1"/>
      <c r="IQ286" s="1"/>
      <c r="IR286" s="1"/>
      <c r="IS286" s="1"/>
      <c r="IT286" s="1"/>
      <c r="IU286" s="1"/>
    </row>
    <row r="287" spans="14:255" s="30" customFormat="1" ht="12.95" customHeight="1" x14ac:dyDescent="0.2">
      <c r="N287" s="31"/>
      <c r="IB287" s="1"/>
      <c r="IC287" s="1"/>
      <c r="ID287" s="1"/>
      <c r="IE287" s="1"/>
      <c r="IF287" s="1"/>
      <c r="IG287" s="1"/>
      <c r="IH287" s="1"/>
      <c r="II287" s="1"/>
      <c r="IJ287" s="1"/>
      <c r="IK287" s="1"/>
      <c r="IL287" s="1"/>
      <c r="IM287" s="1"/>
      <c r="IN287" s="1"/>
      <c r="IO287" s="1"/>
      <c r="IP287" s="1"/>
      <c r="IQ287" s="1"/>
      <c r="IR287" s="1"/>
      <c r="IS287" s="1"/>
      <c r="IT287" s="1"/>
      <c r="IU287" s="1"/>
    </row>
    <row r="288" spans="14:255" s="30" customFormat="1" ht="12.95" customHeight="1" x14ac:dyDescent="0.2">
      <c r="N288" s="31"/>
      <c r="IB288" s="1"/>
      <c r="IC288" s="1"/>
      <c r="ID288" s="1"/>
      <c r="IE288" s="1"/>
      <c r="IF288" s="1"/>
      <c r="IG288" s="1"/>
      <c r="IH288" s="1"/>
      <c r="II288" s="1"/>
      <c r="IJ288" s="1"/>
      <c r="IK288" s="1"/>
      <c r="IL288" s="1"/>
      <c r="IM288" s="1"/>
      <c r="IN288" s="1"/>
      <c r="IO288" s="1"/>
      <c r="IP288" s="1"/>
      <c r="IQ288" s="1"/>
      <c r="IR288" s="1"/>
      <c r="IS288" s="1"/>
      <c r="IT288" s="1"/>
      <c r="IU288" s="1"/>
    </row>
    <row r="289" spans="14:255" s="30" customFormat="1" ht="12.95" customHeight="1" x14ac:dyDescent="0.2">
      <c r="N289" s="31"/>
      <c r="IB289" s="1"/>
      <c r="IC289" s="1"/>
      <c r="ID289" s="1"/>
      <c r="IE289" s="1"/>
      <c r="IF289" s="1"/>
      <c r="IG289" s="1"/>
      <c r="IH289" s="1"/>
      <c r="II289" s="1"/>
      <c r="IJ289" s="1"/>
      <c r="IK289" s="1"/>
      <c r="IL289" s="1"/>
      <c r="IM289" s="1"/>
      <c r="IN289" s="1"/>
      <c r="IO289" s="1"/>
      <c r="IP289" s="1"/>
      <c r="IQ289" s="1"/>
      <c r="IR289" s="1"/>
      <c r="IS289" s="1"/>
      <c r="IT289" s="1"/>
      <c r="IU289" s="1"/>
    </row>
    <row r="290" spans="14:255" s="30" customFormat="1" ht="12.95" customHeight="1" x14ac:dyDescent="0.2">
      <c r="N290" s="31"/>
      <c r="IB290" s="1"/>
      <c r="IC290" s="1"/>
      <c r="ID290" s="1"/>
      <c r="IE290" s="1"/>
      <c r="IF290" s="1"/>
      <c r="IG290" s="1"/>
      <c r="IH290" s="1"/>
      <c r="II290" s="1"/>
      <c r="IJ290" s="1"/>
      <c r="IK290" s="1"/>
      <c r="IL290" s="1"/>
      <c r="IM290" s="1"/>
      <c r="IN290" s="1"/>
      <c r="IO290" s="1"/>
      <c r="IP290" s="1"/>
      <c r="IQ290" s="1"/>
      <c r="IR290" s="1"/>
      <c r="IS290" s="1"/>
      <c r="IT290" s="1"/>
      <c r="IU290" s="1"/>
    </row>
    <row r="291" spans="14:255" s="30" customFormat="1" ht="12.95" customHeight="1" x14ac:dyDescent="0.2">
      <c r="N291" s="31"/>
      <c r="IB291" s="1"/>
      <c r="IC291" s="1"/>
      <c r="ID291" s="1"/>
      <c r="IE291" s="1"/>
      <c r="IF291" s="1"/>
      <c r="IG291" s="1"/>
      <c r="IH291" s="1"/>
      <c r="II291" s="1"/>
      <c r="IJ291" s="1"/>
      <c r="IK291" s="1"/>
      <c r="IL291" s="1"/>
      <c r="IM291" s="1"/>
      <c r="IN291" s="1"/>
      <c r="IO291" s="1"/>
      <c r="IP291" s="1"/>
      <c r="IQ291" s="1"/>
      <c r="IR291" s="1"/>
      <c r="IS291" s="1"/>
      <c r="IT291" s="1"/>
      <c r="IU291" s="1"/>
    </row>
    <row r="292" spans="14:255" s="30" customFormat="1" ht="12.95" customHeight="1" x14ac:dyDescent="0.2">
      <c r="N292" s="31"/>
      <c r="IB292" s="1"/>
      <c r="IC292" s="1"/>
      <c r="ID292" s="1"/>
      <c r="IE292" s="1"/>
      <c r="IF292" s="1"/>
      <c r="IG292" s="1"/>
      <c r="IH292" s="1"/>
      <c r="II292" s="1"/>
      <c r="IJ292" s="1"/>
      <c r="IK292" s="1"/>
      <c r="IL292" s="1"/>
      <c r="IM292" s="1"/>
      <c r="IN292" s="1"/>
      <c r="IO292" s="1"/>
      <c r="IP292" s="1"/>
      <c r="IQ292" s="1"/>
      <c r="IR292" s="1"/>
      <c r="IS292" s="1"/>
      <c r="IT292" s="1"/>
      <c r="IU292" s="1"/>
    </row>
    <row r="293" spans="14:255" s="30" customFormat="1" ht="12.95" customHeight="1" x14ac:dyDescent="0.2">
      <c r="N293" s="31"/>
      <c r="IB293" s="1"/>
      <c r="IC293" s="1"/>
      <c r="ID293" s="1"/>
      <c r="IE293" s="1"/>
      <c r="IF293" s="1"/>
      <c r="IG293" s="1"/>
      <c r="IH293" s="1"/>
      <c r="II293" s="1"/>
      <c r="IJ293" s="1"/>
      <c r="IK293" s="1"/>
      <c r="IL293" s="1"/>
      <c r="IM293" s="1"/>
      <c r="IN293" s="1"/>
      <c r="IO293" s="1"/>
      <c r="IP293" s="1"/>
      <c r="IQ293" s="1"/>
      <c r="IR293" s="1"/>
      <c r="IS293" s="1"/>
      <c r="IT293" s="1"/>
      <c r="IU293" s="1"/>
    </row>
    <row r="294" spans="14:255" s="30" customFormat="1" ht="12.95" customHeight="1" x14ac:dyDescent="0.2">
      <c r="N294" s="31"/>
      <c r="IB294" s="1"/>
      <c r="IC294" s="1"/>
      <c r="ID294" s="1"/>
      <c r="IE294" s="1"/>
      <c r="IF294" s="1"/>
      <c r="IG294" s="1"/>
      <c r="IH294" s="1"/>
      <c r="II294" s="1"/>
      <c r="IJ294" s="1"/>
      <c r="IK294" s="1"/>
      <c r="IL294" s="1"/>
      <c r="IM294" s="1"/>
      <c r="IN294" s="1"/>
      <c r="IO294" s="1"/>
      <c r="IP294" s="1"/>
      <c r="IQ294" s="1"/>
      <c r="IR294" s="1"/>
      <c r="IS294" s="1"/>
      <c r="IT294" s="1"/>
      <c r="IU294" s="1"/>
    </row>
    <row r="295" spans="14:255" s="30" customFormat="1" ht="12.95" customHeight="1" x14ac:dyDescent="0.2">
      <c r="N295" s="31"/>
      <c r="IB295" s="1"/>
      <c r="IC295" s="1"/>
      <c r="ID295" s="1"/>
      <c r="IE295" s="1"/>
      <c r="IF295" s="1"/>
      <c r="IG295" s="1"/>
      <c r="IH295" s="1"/>
      <c r="II295" s="1"/>
      <c r="IJ295" s="1"/>
      <c r="IK295" s="1"/>
      <c r="IL295" s="1"/>
      <c r="IM295" s="1"/>
      <c r="IN295" s="1"/>
      <c r="IO295" s="1"/>
      <c r="IP295" s="1"/>
      <c r="IQ295" s="1"/>
      <c r="IR295" s="1"/>
      <c r="IS295" s="1"/>
      <c r="IT295" s="1"/>
      <c r="IU295" s="1"/>
    </row>
    <row r="296" spans="14:255" s="30" customFormat="1" ht="12.95" customHeight="1" x14ac:dyDescent="0.2">
      <c r="N296" s="31"/>
      <c r="IB296" s="1"/>
      <c r="IC296" s="1"/>
      <c r="ID296" s="1"/>
      <c r="IE296" s="1"/>
      <c r="IF296" s="1"/>
      <c r="IG296" s="1"/>
      <c r="IH296" s="1"/>
      <c r="II296" s="1"/>
      <c r="IJ296" s="1"/>
      <c r="IK296" s="1"/>
      <c r="IL296" s="1"/>
      <c r="IM296" s="1"/>
      <c r="IN296" s="1"/>
      <c r="IO296" s="1"/>
      <c r="IP296" s="1"/>
      <c r="IQ296" s="1"/>
      <c r="IR296" s="1"/>
      <c r="IS296" s="1"/>
      <c r="IT296" s="1"/>
      <c r="IU296" s="1"/>
    </row>
    <row r="297" spans="14:255" s="30" customFormat="1" ht="12.95" customHeight="1" x14ac:dyDescent="0.2">
      <c r="N297" s="31"/>
      <c r="IB297" s="1"/>
      <c r="IC297" s="1"/>
      <c r="ID297" s="1"/>
      <c r="IE297" s="1"/>
      <c r="IF297" s="1"/>
      <c r="IG297" s="1"/>
      <c r="IH297" s="1"/>
      <c r="II297" s="1"/>
      <c r="IJ297" s="1"/>
      <c r="IK297" s="1"/>
      <c r="IL297" s="1"/>
      <c r="IM297" s="1"/>
      <c r="IN297" s="1"/>
      <c r="IO297" s="1"/>
      <c r="IP297" s="1"/>
      <c r="IQ297" s="1"/>
      <c r="IR297" s="1"/>
      <c r="IS297" s="1"/>
      <c r="IT297" s="1"/>
      <c r="IU297" s="1"/>
    </row>
    <row r="298" spans="14:255" s="30" customFormat="1" ht="12.95" customHeight="1" x14ac:dyDescent="0.2">
      <c r="N298" s="31"/>
      <c r="IB298" s="1"/>
      <c r="IC298" s="1"/>
      <c r="ID298" s="1"/>
      <c r="IE298" s="1"/>
      <c r="IF298" s="1"/>
      <c r="IG298" s="1"/>
      <c r="IH298" s="1"/>
      <c r="II298" s="1"/>
      <c r="IJ298" s="1"/>
      <c r="IK298" s="1"/>
      <c r="IL298" s="1"/>
      <c r="IM298" s="1"/>
      <c r="IN298" s="1"/>
      <c r="IO298" s="1"/>
      <c r="IP298" s="1"/>
      <c r="IQ298" s="1"/>
      <c r="IR298" s="1"/>
      <c r="IS298" s="1"/>
      <c r="IT298" s="1"/>
      <c r="IU298" s="1"/>
    </row>
    <row r="299" spans="14:255" s="30" customFormat="1" ht="12.95" customHeight="1" x14ac:dyDescent="0.2">
      <c r="N299" s="31"/>
      <c r="IB299" s="1"/>
      <c r="IC299" s="1"/>
      <c r="ID299" s="1"/>
      <c r="IE299" s="1"/>
      <c r="IF299" s="1"/>
      <c r="IG299" s="1"/>
      <c r="IH299" s="1"/>
      <c r="II299" s="1"/>
      <c r="IJ299" s="1"/>
      <c r="IK299" s="1"/>
      <c r="IL299" s="1"/>
      <c r="IM299" s="1"/>
      <c r="IN299" s="1"/>
      <c r="IO299" s="1"/>
      <c r="IP299" s="1"/>
      <c r="IQ299" s="1"/>
      <c r="IR299" s="1"/>
      <c r="IS299" s="1"/>
      <c r="IT299" s="1"/>
      <c r="IU299" s="1"/>
    </row>
    <row r="300" spans="14:255" s="30" customFormat="1" ht="12.95" customHeight="1" x14ac:dyDescent="0.2">
      <c r="N300" s="31"/>
      <c r="IB300" s="1"/>
      <c r="IC300" s="1"/>
      <c r="ID300" s="1"/>
      <c r="IE300" s="1"/>
      <c r="IF300" s="1"/>
      <c r="IG300" s="1"/>
      <c r="IH300" s="1"/>
      <c r="II300" s="1"/>
      <c r="IJ300" s="1"/>
      <c r="IK300" s="1"/>
      <c r="IL300" s="1"/>
      <c r="IM300" s="1"/>
      <c r="IN300" s="1"/>
      <c r="IO300" s="1"/>
      <c r="IP300" s="1"/>
      <c r="IQ300" s="1"/>
      <c r="IR300" s="1"/>
      <c r="IS300" s="1"/>
      <c r="IT300" s="1"/>
      <c r="IU300" s="1"/>
    </row>
    <row r="301" spans="14:255" s="30" customFormat="1" ht="12.95" customHeight="1" x14ac:dyDescent="0.2">
      <c r="N301" s="31"/>
      <c r="IB301" s="1"/>
      <c r="IC301" s="1"/>
      <c r="ID301" s="1"/>
      <c r="IE301" s="1"/>
      <c r="IF301" s="1"/>
      <c r="IG301" s="1"/>
      <c r="IH301" s="1"/>
      <c r="II301" s="1"/>
      <c r="IJ301" s="1"/>
      <c r="IK301" s="1"/>
      <c r="IL301" s="1"/>
      <c r="IM301" s="1"/>
      <c r="IN301" s="1"/>
      <c r="IO301" s="1"/>
      <c r="IP301" s="1"/>
      <c r="IQ301" s="1"/>
      <c r="IR301" s="1"/>
      <c r="IS301" s="1"/>
      <c r="IT301" s="1"/>
      <c r="IU301" s="1"/>
    </row>
    <row r="302" spans="14:255" s="30" customFormat="1" ht="12.95" customHeight="1" x14ac:dyDescent="0.2">
      <c r="N302" s="31"/>
      <c r="IB302" s="1"/>
      <c r="IC302" s="1"/>
      <c r="ID302" s="1"/>
      <c r="IE302" s="1"/>
      <c r="IF302" s="1"/>
      <c r="IG302" s="1"/>
      <c r="IH302" s="1"/>
      <c r="II302" s="1"/>
      <c r="IJ302" s="1"/>
      <c r="IK302" s="1"/>
      <c r="IL302" s="1"/>
      <c r="IM302" s="1"/>
      <c r="IN302" s="1"/>
      <c r="IO302" s="1"/>
      <c r="IP302" s="1"/>
      <c r="IQ302" s="1"/>
      <c r="IR302" s="1"/>
      <c r="IS302" s="1"/>
      <c r="IT302" s="1"/>
      <c r="IU302" s="1"/>
    </row>
    <row r="303" spans="14:255" s="30" customFormat="1" ht="12.95" customHeight="1" x14ac:dyDescent="0.2">
      <c r="N303" s="31"/>
      <c r="IB303" s="1"/>
      <c r="IC303" s="1"/>
      <c r="ID303" s="1"/>
      <c r="IE303" s="1"/>
      <c r="IF303" s="1"/>
      <c r="IG303" s="1"/>
      <c r="IH303" s="1"/>
      <c r="II303" s="1"/>
      <c r="IJ303" s="1"/>
      <c r="IK303" s="1"/>
      <c r="IL303" s="1"/>
      <c r="IM303" s="1"/>
      <c r="IN303" s="1"/>
      <c r="IO303" s="1"/>
      <c r="IP303" s="1"/>
      <c r="IQ303" s="1"/>
      <c r="IR303" s="1"/>
      <c r="IS303" s="1"/>
      <c r="IT303" s="1"/>
      <c r="IU303" s="1"/>
    </row>
    <row r="304" spans="14:255" s="30" customFormat="1" ht="12.95" customHeight="1" x14ac:dyDescent="0.2">
      <c r="N304" s="31"/>
      <c r="IB304" s="1"/>
      <c r="IC304" s="1"/>
      <c r="ID304" s="1"/>
      <c r="IE304" s="1"/>
      <c r="IF304" s="1"/>
      <c r="IG304" s="1"/>
      <c r="IH304" s="1"/>
      <c r="II304" s="1"/>
      <c r="IJ304" s="1"/>
      <c r="IK304" s="1"/>
      <c r="IL304" s="1"/>
      <c r="IM304" s="1"/>
      <c r="IN304" s="1"/>
      <c r="IO304" s="1"/>
      <c r="IP304" s="1"/>
      <c r="IQ304" s="1"/>
      <c r="IR304" s="1"/>
      <c r="IS304" s="1"/>
      <c r="IT304" s="1"/>
      <c r="IU304" s="1"/>
    </row>
    <row r="305" spans="14:255" s="30" customFormat="1" ht="12.95" customHeight="1" x14ac:dyDescent="0.2">
      <c r="N305" s="31"/>
      <c r="IB305" s="1"/>
      <c r="IC305" s="1"/>
      <c r="ID305" s="1"/>
      <c r="IE305" s="1"/>
      <c r="IF305" s="1"/>
      <c r="IG305" s="1"/>
      <c r="IH305" s="1"/>
      <c r="II305" s="1"/>
      <c r="IJ305" s="1"/>
      <c r="IK305" s="1"/>
      <c r="IL305" s="1"/>
      <c r="IM305" s="1"/>
      <c r="IN305" s="1"/>
      <c r="IO305" s="1"/>
      <c r="IP305" s="1"/>
      <c r="IQ305" s="1"/>
      <c r="IR305" s="1"/>
      <c r="IS305" s="1"/>
      <c r="IT305" s="1"/>
      <c r="IU305" s="1"/>
    </row>
    <row r="306" spans="14:255" s="30" customFormat="1" ht="12.95" customHeight="1" x14ac:dyDescent="0.2">
      <c r="N306" s="31"/>
      <c r="IB306" s="1"/>
      <c r="IC306" s="1"/>
      <c r="ID306" s="1"/>
      <c r="IE306" s="1"/>
      <c r="IF306" s="1"/>
      <c r="IG306" s="1"/>
      <c r="IH306" s="1"/>
      <c r="II306" s="1"/>
      <c r="IJ306" s="1"/>
      <c r="IK306" s="1"/>
      <c r="IL306" s="1"/>
      <c r="IM306" s="1"/>
      <c r="IN306" s="1"/>
      <c r="IO306" s="1"/>
      <c r="IP306" s="1"/>
      <c r="IQ306" s="1"/>
      <c r="IR306" s="1"/>
      <c r="IS306" s="1"/>
      <c r="IT306" s="1"/>
      <c r="IU306" s="1"/>
    </row>
    <row r="307" spans="14:255" s="30" customFormat="1" ht="12.95" customHeight="1" x14ac:dyDescent="0.2">
      <c r="N307" s="31"/>
      <c r="IB307" s="1"/>
      <c r="IC307" s="1"/>
      <c r="ID307" s="1"/>
      <c r="IE307" s="1"/>
      <c r="IF307" s="1"/>
      <c r="IG307" s="1"/>
      <c r="IH307" s="1"/>
      <c r="II307" s="1"/>
      <c r="IJ307" s="1"/>
      <c r="IK307" s="1"/>
      <c r="IL307" s="1"/>
      <c r="IM307" s="1"/>
      <c r="IN307" s="1"/>
      <c r="IO307" s="1"/>
      <c r="IP307" s="1"/>
      <c r="IQ307" s="1"/>
      <c r="IR307" s="1"/>
      <c r="IS307" s="1"/>
      <c r="IT307" s="1"/>
      <c r="IU307" s="1"/>
    </row>
    <row r="308" spans="14:255" s="30" customFormat="1" ht="12.95" customHeight="1" x14ac:dyDescent="0.2">
      <c r="N308" s="31"/>
      <c r="IB308" s="1"/>
      <c r="IC308" s="1"/>
      <c r="ID308" s="1"/>
      <c r="IE308" s="1"/>
      <c r="IF308" s="1"/>
      <c r="IG308" s="1"/>
      <c r="IH308" s="1"/>
      <c r="II308" s="1"/>
      <c r="IJ308" s="1"/>
      <c r="IK308" s="1"/>
      <c r="IL308" s="1"/>
      <c r="IM308" s="1"/>
      <c r="IN308" s="1"/>
      <c r="IO308" s="1"/>
      <c r="IP308" s="1"/>
      <c r="IQ308" s="1"/>
      <c r="IR308" s="1"/>
      <c r="IS308" s="1"/>
      <c r="IT308" s="1"/>
      <c r="IU308" s="1"/>
    </row>
    <row r="309" spans="14:255" s="30" customFormat="1" ht="12.95" customHeight="1" x14ac:dyDescent="0.2">
      <c r="N309" s="31"/>
      <c r="IB309" s="1"/>
      <c r="IC309" s="1"/>
      <c r="ID309" s="1"/>
      <c r="IE309" s="1"/>
      <c r="IF309" s="1"/>
      <c r="IG309" s="1"/>
      <c r="IH309" s="1"/>
      <c r="II309" s="1"/>
      <c r="IJ309" s="1"/>
      <c r="IK309" s="1"/>
      <c r="IL309" s="1"/>
      <c r="IM309" s="1"/>
      <c r="IN309" s="1"/>
      <c r="IO309" s="1"/>
      <c r="IP309" s="1"/>
      <c r="IQ309" s="1"/>
      <c r="IR309" s="1"/>
      <c r="IS309" s="1"/>
      <c r="IT309" s="1"/>
      <c r="IU309" s="1"/>
    </row>
    <row r="310" spans="14:255" s="30" customFormat="1" ht="12.95" customHeight="1" x14ac:dyDescent="0.2">
      <c r="N310" s="31"/>
      <c r="IB310" s="1"/>
      <c r="IC310" s="1"/>
      <c r="ID310" s="1"/>
      <c r="IE310" s="1"/>
      <c r="IF310" s="1"/>
      <c r="IG310" s="1"/>
      <c r="IH310" s="1"/>
      <c r="II310" s="1"/>
      <c r="IJ310" s="1"/>
      <c r="IK310" s="1"/>
      <c r="IL310" s="1"/>
      <c r="IM310" s="1"/>
      <c r="IN310" s="1"/>
      <c r="IO310" s="1"/>
      <c r="IP310" s="1"/>
      <c r="IQ310" s="1"/>
      <c r="IR310" s="1"/>
      <c r="IS310" s="1"/>
      <c r="IT310" s="1"/>
      <c r="IU310" s="1"/>
    </row>
    <row r="311" spans="14:255" s="30" customFormat="1" ht="12.95" customHeight="1" x14ac:dyDescent="0.2">
      <c r="N311" s="31"/>
      <c r="IB311" s="1"/>
      <c r="IC311" s="1"/>
      <c r="ID311" s="1"/>
      <c r="IE311" s="1"/>
      <c r="IF311" s="1"/>
      <c r="IG311" s="1"/>
      <c r="IH311" s="1"/>
      <c r="II311" s="1"/>
      <c r="IJ311" s="1"/>
      <c r="IK311" s="1"/>
      <c r="IL311" s="1"/>
      <c r="IM311" s="1"/>
      <c r="IN311" s="1"/>
      <c r="IO311" s="1"/>
      <c r="IP311" s="1"/>
      <c r="IQ311" s="1"/>
      <c r="IR311" s="1"/>
      <c r="IS311" s="1"/>
      <c r="IT311" s="1"/>
      <c r="IU311" s="1"/>
    </row>
    <row r="312" spans="14:255" s="30" customFormat="1" ht="12.95" customHeight="1" x14ac:dyDescent="0.2">
      <c r="N312" s="31"/>
      <c r="IB312" s="1"/>
      <c r="IC312" s="1"/>
      <c r="ID312" s="1"/>
      <c r="IE312" s="1"/>
      <c r="IF312" s="1"/>
      <c r="IG312" s="1"/>
      <c r="IH312" s="1"/>
      <c r="II312" s="1"/>
      <c r="IJ312" s="1"/>
      <c r="IK312" s="1"/>
      <c r="IL312" s="1"/>
      <c r="IM312" s="1"/>
      <c r="IN312" s="1"/>
      <c r="IO312" s="1"/>
      <c r="IP312" s="1"/>
      <c r="IQ312" s="1"/>
      <c r="IR312" s="1"/>
      <c r="IS312" s="1"/>
      <c r="IT312" s="1"/>
      <c r="IU312" s="1"/>
    </row>
    <row r="313" spans="14:255" s="30" customFormat="1" ht="12.95" customHeight="1" x14ac:dyDescent="0.2">
      <c r="N313" s="31"/>
      <c r="IB313" s="1"/>
      <c r="IC313" s="1"/>
      <c r="ID313" s="1"/>
      <c r="IE313" s="1"/>
      <c r="IF313" s="1"/>
      <c r="IG313" s="1"/>
      <c r="IH313" s="1"/>
      <c r="II313" s="1"/>
      <c r="IJ313" s="1"/>
      <c r="IK313" s="1"/>
      <c r="IL313" s="1"/>
      <c r="IM313" s="1"/>
      <c r="IN313" s="1"/>
      <c r="IO313" s="1"/>
      <c r="IP313" s="1"/>
      <c r="IQ313" s="1"/>
      <c r="IR313" s="1"/>
      <c r="IS313" s="1"/>
      <c r="IT313" s="1"/>
      <c r="IU313" s="1"/>
    </row>
    <row r="314" spans="14:255" s="30" customFormat="1" ht="12.95" customHeight="1" x14ac:dyDescent="0.2">
      <c r="N314" s="31"/>
      <c r="IB314" s="1"/>
      <c r="IC314" s="1"/>
      <c r="ID314" s="1"/>
      <c r="IE314" s="1"/>
      <c r="IF314" s="1"/>
      <c r="IG314" s="1"/>
      <c r="IH314" s="1"/>
      <c r="II314" s="1"/>
      <c r="IJ314" s="1"/>
      <c r="IK314" s="1"/>
      <c r="IL314" s="1"/>
      <c r="IM314" s="1"/>
      <c r="IN314" s="1"/>
      <c r="IO314" s="1"/>
      <c r="IP314" s="1"/>
      <c r="IQ314" s="1"/>
      <c r="IR314" s="1"/>
      <c r="IS314" s="1"/>
      <c r="IT314" s="1"/>
      <c r="IU314" s="1"/>
    </row>
    <row r="315" spans="14:255" s="30" customFormat="1" ht="12.95" customHeight="1" x14ac:dyDescent="0.2">
      <c r="N315" s="31"/>
      <c r="IB315" s="1"/>
      <c r="IC315" s="1"/>
      <c r="ID315" s="1"/>
      <c r="IE315" s="1"/>
      <c r="IF315" s="1"/>
      <c r="IG315" s="1"/>
      <c r="IH315" s="1"/>
      <c r="II315" s="1"/>
      <c r="IJ315" s="1"/>
      <c r="IK315" s="1"/>
      <c r="IL315" s="1"/>
      <c r="IM315" s="1"/>
      <c r="IN315" s="1"/>
      <c r="IO315" s="1"/>
      <c r="IP315" s="1"/>
      <c r="IQ315" s="1"/>
      <c r="IR315" s="1"/>
      <c r="IS315" s="1"/>
      <c r="IT315" s="1"/>
      <c r="IU315" s="1"/>
    </row>
    <row r="316" spans="14:255" s="30" customFormat="1" ht="12.95" customHeight="1" x14ac:dyDescent="0.2">
      <c r="N316" s="31"/>
      <c r="IB316" s="1"/>
      <c r="IC316" s="1"/>
      <c r="ID316" s="1"/>
      <c r="IE316" s="1"/>
      <c r="IF316" s="1"/>
      <c r="IG316" s="1"/>
      <c r="IH316" s="1"/>
      <c r="II316" s="1"/>
      <c r="IJ316" s="1"/>
      <c r="IK316" s="1"/>
      <c r="IL316" s="1"/>
      <c r="IM316" s="1"/>
      <c r="IN316" s="1"/>
      <c r="IO316" s="1"/>
      <c r="IP316" s="1"/>
      <c r="IQ316" s="1"/>
      <c r="IR316" s="1"/>
      <c r="IS316" s="1"/>
      <c r="IT316" s="1"/>
      <c r="IU316" s="1"/>
    </row>
    <row r="317" spans="14:255" s="30" customFormat="1" ht="12.95" customHeight="1" x14ac:dyDescent="0.2">
      <c r="N317" s="31"/>
      <c r="IB317" s="1"/>
      <c r="IC317" s="1"/>
      <c r="ID317" s="1"/>
      <c r="IE317" s="1"/>
      <c r="IF317" s="1"/>
      <c r="IG317" s="1"/>
      <c r="IH317" s="1"/>
      <c r="II317" s="1"/>
      <c r="IJ317" s="1"/>
      <c r="IK317" s="1"/>
      <c r="IL317" s="1"/>
      <c r="IM317" s="1"/>
      <c r="IN317" s="1"/>
      <c r="IO317" s="1"/>
      <c r="IP317" s="1"/>
      <c r="IQ317" s="1"/>
      <c r="IR317" s="1"/>
      <c r="IS317" s="1"/>
      <c r="IT317" s="1"/>
      <c r="IU317" s="1"/>
    </row>
    <row r="318" spans="14:255" s="30" customFormat="1" ht="12.95" customHeight="1" x14ac:dyDescent="0.2">
      <c r="N318" s="31"/>
      <c r="IB318" s="1"/>
      <c r="IC318" s="1"/>
      <c r="ID318" s="1"/>
      <c r="IE318" s="1"/>
      <c r="IF318" s="1"/>
      <c r="IG318" s="1"/>
      <c r="IH318" s="1"/>
      <c r="II318" s="1"/>
      <c r="IJ318" s="1"/>
      <c r="IK318" s="1"/>
      <c r="IL318" s="1"/>
      <c r="IM318" s="1"/>
      <c r="IN318" s="1"/>
      <c r="IO318" s="1"/>
      <c r="IP318" s="1"/>
      <c r="IQ318" s="1"/>
      <c r="IR318" s="1"/>
      <c r="IS318" s="1"/>
      <c r="IT318" s="1"/>
      <c r="IU318" s="1"/>
    </row>
    <row r="319" spans="14:255" s="30" customFormat="1" ht="12.95" customHeight="1" x14ac:dyDescent="0.2">
      <c r="N319" s="31"/>
      <c r="IB319" s="1"/>
      <c r="IC319" s="1"/>
      <c r="ID319" s="1"/>
      <c r="IE319" s="1"/>
      <c r="IF319" s="1"/>
      <c r="IG319" s="1"/>
      <c r="IH319" s="1"/>
      <c r="II319" s="1"/>
      <c r="IJ319" s="1"/>
      <c r="IK319" s="1"/>
      <c r="IL319" s="1"/>
      <c r="IM319" s="1"/>
      <c r="IN319" s="1"/>
      <c r="IO319" s="1"/>
      <c r="IP319" s="1"/>
      <c r="IQ319" s="1"/>
      <c r="IR319" s="1"/>
      <c r="IS319" s="1"/>
      <c r="IT319" s="1"/>
      <c r="IU319" s="1"/>
    </row>
    <row r="320" spans="14:255" s="30" customFormat="1" ht="12.95" customHeight="1" x14ac:dyDescent="0.2">
      <c r="N320" s="31"/>
      <c r="IB320" s="1"/>
      <c r="IC320" s="1"/>
      <c r="ID320" s="1"/>
      <c r="IE320" s="1"/>
      <c r="IF320" s="1"/>
      <c r="IG320" s="1"/>
      <c r="IH320" s="1"/>
      <c r="II320" s="1"/>
      <c r="IJ320" s="1"/>
      <c r="IK320" s="1"/>
      <c r="IL320" s="1"/>
      <c r="IM320" s="1"/>
      <c r="IN320" s="1"/>
      <c r="IO320" s="1"/>
      <c r="IP320" s="1"/>
      <c r="IQ320" s="1"/>
      <c r="IR320" s="1"/>
      <c r="IS320" s="1"/>
      <c r="IT320" s="1"/>
      <c r="IU320" s="1"/>
    </row>
    <row r="321" spans="14:255" s="30" customFormat="1" ht="12.95" customHeight="1" x14ac:dyDescent="0.2">
      <c r="N321" s="31"/>
      <c r="IB321" s="1"/>
      <c r="IC321" s="1"/>
      <c r="ID321" s="1"/>
      <c r="IE321" s="1"/>
      <c r="IF321" s="1"/>
      <c r="IG321" s="1"/>
      <c r="IH321" s="1"/>
      <c r="II321" s="1"/>
      <c r="IJ321" s="1"/>
      <c r="IK321" s="1"/>
      <c r="IL321" s="1"/>
      <c r="IM321" s="1"/>
      <c r="IN321" s="1"/>
      <c r="IO321" s="1"/>
      <c r="IP321" s="1"/>
      <c r="IQ321" s="1"/>
      <c r="IR321" s="1"/>
      <c r="IS321" s="1"/>
      <c r="IT321" s="1"/>
      <c r="IU321" s="1"/>
    </row>
    <row r="322" spans="14:255" s="30" customFormat="1" ht="12.95" customHeight="1" x14ac:dyDescent="0.2">
      <c r="N322" s="31"/>
      <c r="IB322" s="1"/>
      <c r="IC322" s="1"/>
      <c r="ID322" s="1"/>
      <c r="IE322" s="1"/>
      <c r="IF322" s="1"/>
      <c r="IG322" s="1"/>
      <c r="IH322" s="1"/>
      <c r="II322" s="1"/>
      <c r="IJ322" s="1"/>
      <c r="IK322" s="1"/>
      <c r="IL322" s="1"/>
      <c r="IM322" s="1"/>
      <c r="IN322" s="1"/>
      <c r="IO322" s="1"/>
      <c r="IP322" s="1"/>
      <c r="IQ322" s="1"/>
      <c r="IR322" s="1"/>
      <c r="IS322" s="1"/>
      <c r="IT322" s="1"/>
      <c r="IU322" s="1"/>
    </row>
    <row r="323" spans="14:255" s="30" customFormat="1" ht="12.95" customHeight="1" x14ac:dyDescent="0.2">
      <c r="N323" s="31"/>
      <c r="IB323" s="1"/>
      <c r="IC323" s="1"/>
      <c r="ID323" s="1"/>
      <c r="IE323" s="1"/>
      <c r="IF323" s="1"/>
      <c r="IG323" s="1"/>
      <c r="IH323" s="1"/>
      <c r="II323" s="1"/>
      <c r="IJ323" s="1"/>
      <c r="IK323" s="1"/>
      <c r="IL323" s="1"/>
      <c r="IM323" s="1"/>
      <c r="IN323" s="1"/>
      <c r="IO323" s="1"/>
      <c r="IP323" s="1"/>
      <c r="IQ323" s="1"/>
      <c r="IR323" s="1"/>
      <c r="IS323" s="1"/>
      <c r="IT323" s="1"/>
      <c r="IU323" s="1"/>
    </row>
    <row r="324" spans="14:255" s="30" customFormat="1" ht="12.95" customHeight="1" x14ac:dyDescent="0.2">
      <c r="N324" s="31"/>
      <c r="IB324" s="1"/>
      <c r="IC324" s="1"/>
      <c r="ID324" s="1"/>
      <c r="IE324" s="1"/>
      <c r="IF324" s="1"/>
      <c r="IG324" s="1"/>
      <c r="IH324" s="1"/>
      <c r="II324" s="1"/>
      <c r="IJ324" s="1"/>
      <c r="IK324" s="1"/>
      <c r="IL324" s="1"/>
      <c r="IM324" s="1"/>
      <c r="IN324" s="1"/>
      <c r="IO324" s="1"/>
      <c r="IP324" s="1"/>
      <c r="IQ324" s="1"/>
      <c r="IR324" s="1"/>
      <c r="IS324" s="1"/>
      <c r="IT324" s="1"/>
      <c r="IU324" s="1"/>
    </row>
    <row r="325" spans="14:255" s="30" customFormat="1" ht="12.95" customHeight="1" x14ac:dyDescent="0.2">
      <c r="N325" s="31"/>
      <c r="IB325" s="1"/>
      <c r="IC325" s="1"/>
      <c r="ID325" s="1"/>
      <c r="IE325" s="1"/>
      <c r="IF325" s="1"/>
      <c r="IG325" s="1"/>
      <c r="IH325" s="1"/>
      <c r="II325" s="1"/>
      <c r="IJ325" s="1"/>
      <c r="IK325" s="1"/>
      <c r="IL325" s="1"/>
      <c r="IM325" s="1"/>
      <c r="IN325" s="1"/>
      <c r="IO325" s="1"/>
      <c r="IP325" s="1"/>
      <c r="IQ325" s="1"/>
      <c r="IR325" s="1"/>
      <c r="IS325" s="1"/>
      <c r="IT325" s="1"/>
      <c r="IU325" s="1"/>
    </row>
    <row r="326" spans="14:255" s="30" customFormat="1" ht="12.95" customHeight="1" x14ac:dyDescent="0.2">
      <c r="N326" s="31"/>
      <c r="IB326" s="1"/>
      <c r="IC326" s="1"/>
      <c r="ID326" s="1"/>
      <c r="IE326" s="1"/>
      <c r="IF326" s="1"/>
      <c r="IG326" s="1"/>
      <c r="IH326" s="1"/>
      <c r="II326" s="1"/>
      <c r="IJ326" s="1"/>
      <c r="IK326" s="1"/>
      <c r="IL326" s="1"/>
      <c r="IM326" s="1"/>
      <c r="IN326" s="1"/>
      <c r="IO326" s="1"/>
      <c r="IP326" s="1"/>
      <c r="IQ326" s="1"/>
      <c r="IR326" s="1"/>
      <c r="IS326" s="1"/>
      <c r="IT326" s="1"/>
      <c r="IU326" s="1"/>
    </row>
    <row r="327" spans="14:255" s="30" customFormat="1" ht="12.95" customHeight="1" x14ac:dyDescent="0.2">
      <c r="N327" s="31"/>
      <c r="IB327" s="1"/>
      <c r="IC327" s="1"/>
      <c r="ID327" s="1"/>
      <c r="IE327" s="1"/>
      <c r="IF327" s="1"/>
      <c r="IG327" s="1"/>
      <c r="IH327" s="1"/>
      <c r="II327" s="1"/>
      <c r="IJ327" s="1"/>
      <c r="IK327" s="1"/>
      <c r="IL327" s="1"/>
      <c r="IM327" s="1"/>
      <c r="IN327" s="1"/>
      <c r="IO327" s="1"/>
      <c r="IP327" s="1"/>
      <c r="IQ327" s="1"/>
      <c r="IR327" s="1"/>
      <c r="IS327" s="1"/>
      <c r="IT327" s="1"/>
      <c r="IU327" s="1"/>
    </row>
    <row r="328" spans="14:255" s="30" customFormat="1" ht="12.95" customHeight="1" x14ac:dyDescent="0.2">
      <c r="N328" s="31"/>
      <c r="IB328" s="1"/>
      <c r="IC328" s="1"/>
      <c r="ID328" s="1"/>
      <c r="IE328" s="1"/>
      <c r="IF328" s="1"/>
      <c r="IG328" s="1"/>
      <c r="IH328" s="1"/>
      <c r="II328" s="1"/>
      <c r="IJ328" s="1"/>
      <c r="IK328" s="1"/>
      <c r="IL328" s="1"/>
      <c r="IM328" s="1"/>
      <c r="IN328" s="1"/>
      <c r="IO328" s="1"/>
      <c r="IP328" s="1"/>
      <c r="IQ328" s="1"/>
      <c r="IR328" s="1"/>
      <c r="IS328" s="1"/>
      <c r="IT328" s="1"/>
      <c r="IU328" s="1"/>
    </row>
    <row r="329" spans="14:255" s="30" customFormat="1" ht="12.95" customHeight="1" x14ac:dyDescent="0.2">
      <c r="N329" s="31"/>
      <c r="IB329" s="1"/>
      <c r="IC329" s="1"/>
      <c r="ID329" s="1"/>
      <c r="IE329" s="1"/>
      <c r="IF329" s="1"/>
      <c r="IG329" s="1"/>
      <c r="IH329" s="1"/>
      <c r="II329" s="1"/>
      <c r="IJ329" s="1"/>
      <c r="IK329" s="1"/>
      <c r="IL329" s="1"/>
      <c r="IM329" s="1"/>
      <c r="IN329" s="1"/>
      <c r="IO329" s="1"/>
      <c r="IP329" s="1"/>
      <c r="IQ329" s="1"/>
      <c r="IR329" s="1"/>
      <c r="IS329" s="1"/>
      <c r="IT329" s="1"/>
      <c r="IU329" s="1"/>
    </row>
    <row r="330" spans="14:255" s="30" customFormat="1" ht="12.95" customHeight="1" x14ac:dyDescent="0.2">
      <c r="N330" s="31"/>
      <c r="IB330" s="1"/>
      <c r="IC330" s="1"/>
      <c r="ID330" s="1"/>
      <c r="IE330" s="1"/>
      <c r="IF330" s="1"/>
      <c r="IG330" s="1"/>
      <c r="IH330" s="1"/>
      <c r="II330" s="1"/>
      <c r="IJ330" s="1"/>
      <c r="IK330" s="1"/>
      <c r="IL330" s="1"/>
      <c r="IM330" s="1"/>
      <c r="IN330" s="1"/>
      <c r="IO330" s="1"/>
      <c r="IP330" s="1"/>
      <c r="IQ330" s="1"/>
      <c r="IR330" s="1"/>
      <c r="IS330" s="1"/>
      <c r="IT330" s="1"/>
      <c r="IU330" s="1"/>
    </row>
    <row r="331" spans="14:255" s="30" customFormat="1" ht="12.95" customHeight="1" x14ac:dyDescent="0.2">
      <c r="N331" s="31"/>
      <c r="IB331" s="1"/>
      <c r="IC331" s="1"/>
      <c r="ID331" s="1"/>
      <c r="IE331" s="1"/>
      <c r="IF331" s="1"/>
      <c r="IG331" s="1"/>
      <c r="IH331" s="1"/>
      <c r="II331" s="1"/>
      <c r="IJ331" s="1"/>
      <c r="IK331" s="1"/>
      <c r="IL331" s="1"/>
      <c r="IM331" s="1"/>
      <c r="IN331" s="1"/>
      <c r="IO331" s="1"/>
      <c r="IP331" s="1"/>
      <c r="IQ331" s="1"/>
      <c r="IR331" s="1"/>
      <c r="IS331" s="1"/>
      <c r="IT331" s="1"/>
      <c r="IU331" s="1"/>
    </row>
    <row r="332" spans="14:255" s="30" customFormat="1" ht="12.95" customHeight="1" x14ac:dyDescent="0.2">
      <c r="N332" s="31"/>
      <c r="IB332" s="1"/>
      <c r="IC332" s="1"/>
      <c r="ID332" s="1"/>
      <c r="IE332" s="1"/>
      <c r="IF332" s="1"/>
      <c r="IG332" s="1"/>
      <c r="IH332" s="1"/>
      <c r="II332" s="1"/>
      <c r="IJ332" s="1"/>
      <c r="IK332" s="1"/>
      <c r="IL332" s="1"/>
      <c r="IM332" s="1"/>
      <c r="IN332" s="1"/>
      <c r="IO332" s="1"/>
      <c r="IP332" s="1"/>
      <c r="IQ332" s="1"/>
      <c r="IR332" s="1"/>
      <c r="IS332" s="1"/>
      <c r="IT332" s="1"/>
      <c r="IU332" s="1"/>
    </row>
    <row r="333" spans="14:255" s="30" customFormat="1" ht="12.95" customHeight="1" x14ac:dyDescent="0.2">
      <c r="N333" s="31"/>
      <c r="IB333" s="1"/>
      <c r="IC333" s="1"/>
      <c r="ID333" s="1"/>
      <c r="IE333" s="1"/>
      <c r="IF333" s="1"/>
      <c r="IG333" s="1"/>
      <c r="IH333" s="1"/>
      <c r="II333" s="1"/>
      <c r="IJ333" s="1"/>
      <c r="IK333" s="1"/>
      <c r="IL333" s="1"/>
      <c r="IM333" s="1"/>
      <c r="IN333" s="1"/>
      <c r="IO333" s="1"/>
      <c r="IP333" s="1"/>
      <c r="IQ333" s="1"/>
      <c r="IR333" s="1"/>
      <c r="IS333" s="1"/>
      <c r="IT333" s="1"/>
      <c r="IU333" s="1"/>
    </row>
    <row r="334" spans="14:255" s="30" customFormat="1" ht="12.95" customHeight="1" x14ac:dyDescent="0.2">
      <c r="N334" s="31"/>
      <c r="IB334" s="1"/>
      <c r="IC334" s="1"/>
      <c r="ID334" s="1"/>
      <c r="IE334" s="1"/>
      <c r="IF334" s="1"/>
      <c r="IG334" s="1"/>
      <c r="IH334" s="1"/>
      <c r="II334" s="1"/>
      <c r="IJ334" s="1"/>
      <c r="IK334" s="1"/>
      <c r="IL334" s="1"/>
      <c r="IM334" s="1"/>
      <c r="IN334" s="1"/>
      <c r="IO334" s="1"/>
      <c r="IP334" s="1"/>
      <c r="IQ334" s="1"/>
      <c r="IR334" s="1"/>
      <c r="IS334" s="1"/>
      <c r="IT334" s="1"/>
      <c r="IU334" s="1"/>
    </row>
    <row r="335" spans="14:255" s="30" customFormat="1" ht="12.95" customHeight="1" x14ac:dyDescent="0.2">
      <c r="N335" s="31"/>
      <c r="IB335" s="1"/>
      <c r="IC335" s="1"/>
      <c r="ID335" s="1"/>
      <c r="IE335" s="1"/>
      <c r="IF335" s="1"/>
      <c r="IG335" s="1"/>
      <c r="IH335" s="1"/>
      <c r="II335" s="1"/>
      <c r="IJ335" s="1"/>
      <c r="IK335" s="1"/>
      <c r="IL335" s="1"/>
      <c r="IM335" s="1"/>
      <c r="IN335" s="1"/>
      <c r="IO335" s="1"/>
      <c r="IP335" s="1"/>
      <c r="IQ335" s="1"/>
      <c r="IR335" s="1"/>
      <c r="IS335" s="1"/>
      <c r="IT335" s="1"/>
      <c r="IU335" s="1"/>
    </row>
    <row r="336" spans="14:255" s="30" customFormat="1" ht="12.95" customHeight="1" x14ac:dyDescent="0.2">
      <c r="N336" s="31"/>
      <c r="IB336" s="1"/>
      <c r="IC336" s="1"/>
      <c r="ID336" s="1"/>
      <c r="IE336" s="1"/>
      <c r="IF336" s="1"/>
      <c r="IG336" s="1"/>
      <c r="IH336" s="1"/>
      <c r="II336" s="1"/>
      <c r="IJ336" s="1"/>
      <c r="IK336" s="1"/>
      <c r="IL336" s="1"/>
      <c r="IM336" s="1"/>
      <c r="IN336" s="1"/>
      <c r="IO336" s="1"/>
      <c r="IP336" s="1"/>
      <c r="IQ336" s="1"/>
      <c r="IR336" s="1"/>
      <c r="IS336" s="1"/>
      <c r="IT336" s="1"/>
      <c r="IU336" s="1"/>
    </row>
    <row r="337" spans="14:255" s="30" customFormat="1" ht="12.95" customHeight="1" x14ac:dyDescent="0.2">
      <c r="N337" s="31"/>
      <c r="IB337" s="1"/>
      <c r="IC337" s="1"/>
      <c r="ID337" s="1"/>
      <c r="IE337" s="1"/>
      <c r="IF337" s="1"/>
      <c r="IG337" s="1"/>
      <c r="IH337" s="1"/>
      <c r="II337" s="1"/>
      <c r="IJ337" s="1"/>
      <c r="IK337" s="1"/>
      <c r="IL337" s="1"/>
      <c r="IM337" s="1"/>
      <c r="IN337" s="1"/>
      <c r="IO337" s="1"/>
      <c r="IP337" s="1"/>
      <c r="IQ337" s="1"/>
      <c r="IR337" s="1"/>
      <c r="IS337" s="1"/>
      <c r="IT337" s="1"/>
      <c r="IU337" s="1"/>
    </row>
    <row r="338" spans="14:255" s="30" customFormat="1" ht="12.95" customHeight="1" x14ac:dyDescent="0.2">
      <c r="N338" s="31"/>
      <c r="IB338" s="1"/>
      <c r="IC338" s="1"/>
      <c r="ID338" s="1"/>
      <c r="IE338" s="1"/>
      <c r="IF338" s="1"/>
      <c r="IG338" s="1"/>
      <c r="IH338" s="1"/>
      <c r="II338" s="1"/>
      <c r="IJ338" s="1"/>
      <c r="IK338" s="1"/>
      <c r="IL338" s="1"/>
      <c r="IM338" s="1"/>
      <c r="IN338" s="1"/>
      <c r="IO338" s="1"/>
      <c r="IP338" s="1"/>
      <c r="IQ338" s="1"/>
      <c r="IR338" s="1"/>
      <c r="IS338" s="1"/>
      <c r="IT338" s="1"/>
      <c r="IU338" s="1"/>
    </row>
    <row r="339" spans="14:255" s="30" customFormat="1" ht="12.95" customHeight="1" x14ac:dyDescent="0.2">
      <c r="N339" s="31"/>
      <c r="IB339" s="1"/>
      <c r="IC339" s="1"/>
      <c r="ID339" s="1"/>
      <c r="IE339" s="1"/>
      <c r="IF339" s="1"/>
      <c r="IG339" s="1"/>
      <c r="IH339" s="1"/>
      <c r="II339" s="1"/>
      <c r="IJ339" s="1"/>
      <c r="IK339" s="1"/>
      <c r="IL339" s="1"/>
      <c r="IM339" s="1"/>
      <c r="IN339" s="1"/>
      <c r="IO339" s="1"/>
      <c r="IP339" s="1"/>
      <c r="IQ339" s="1"/>
      <c r="IR339" s="1"/>
      <c r="IS339" s="1"/>
      <c r="IT339" s="1"/>
      <c r="IU339" s="1"/>
    </row>
    <row r="340" spans="14:255" s="30" customFormat="1" ht="12.95" customHeight="1" x14ac:dyDescent="0.2">
      <c r="N340" s="31"/>
      <c r="IB340" s="1"/>
      <c r="IC340" s="1"/>
      <c r="ID340" s="1"/>
      <c r="IE340" s="1"/>
      <c r="IF340" s="1"/>
      <c r="IG340" s="1"/>
      <c r="IH340" s="1"/>
      <c r="II340" s="1"/>
      <c r="IJ340" s="1"/>
      <c r="IK340" s="1"/>
      <c r="IL340" s="1"/>
      <c r="IM340" s="1"/>
      <c r="IN340" s="1"/>
      <c r="IO340" s="1"/>
      <c r="IP340" s="1"/>
      <c r="IQ340" s="1"/>
      <c r="IR340" s="1"/>
      <c r="IS340" s="1"/>
      <c r="IT340" s="1"/>
      <c r="IU340" s="1"/>
    </row>
    <row r="341" spans="14:255" s="30" customFormat="1" ht="12.95" customHeight="1" x14ac:dyDescent="0.2">
      <c r="N341" s="31"/>
      <c r="IB341" s="1"/>
      <c r="IC341" s="1"/>
      <c r="ID341" s="1"/>
      <c r="IE341" s="1"/>
      <c r="IF341" s="1"/>
      <c r="IG341" s="1"/>
      <c r="IH341" s="1"/>
      <c r="II341" s="1"/>
      <c r="IJ341" s="1"/>
      <c r="IK341" s="1"/>
      <c r="IL341" s="1"/>
      <c r="IM341" s="1"/>
      <c r="IN341" s="1"/>
      <c r="IO341" s="1"/>
      <c r="IP341" s="1"/>
      <c r="IQ341" s="1"/>
      <c r="IR341" s="1"/>
      <c r="IS341" s="1"/>
      <c r="IT341" s="1"/>
      <c r="IU341" s="1"/>
    </row>
    <row r="342" spans="14:255" s="30" customFormat="1" ht="12.95" customHeight="1" x14ac:dyDescent="0.2">
      <c r="N342" s="31"/>
      <c r="IB342" s="1"/>
      <c r="IC342" s="1"/>
      <c r="ID342" s="1"/>
      <c r="IE342" s="1"/>
      <c r="IF342" s="1"/>
      <c r="IG342" s="1"/>
      <c r="IH342" s="1"/>
      <c r="II342" s="1"/>
      <c r="IJ342" s="1"/>
      <c r="IK342" s="1"/>
      <c r="IL342" s="1"/>
      <c r="IM342" s="1"/>
      <c r="IN342" s="1"/>
      <c r="IO342" s="1"/>
      <c r="IP342" s="1"/>
      <c r="IQ342" s="1"/>
      <c r="IR342" s="1"/>
      <c r="IS342" s="1"/>
      <c r="IT342" s="1"/>
      <c r="IU342" s="1"/>
    </row>
    <row r="343" spans="14:255" s="30" customFormat="1" ht="12.95" customHeight="1" x14ac:dyDescent="0.2">
      <c r="N343" s="31"/>
      <c r="IB343" s="1"/>
      <c r="IC343" s="1"/>
      <c r="ID343" s="1"/>
      <c r="IE343" s="1"/>
      <c r="IF343" s="1"/>
      <c r="IG343" s="1"/>
      <c r="IH343" s="1"/>
      <c r="II343" s="1"/>
      <c r="IJ343" s="1"/>
      <c r="IK343" s="1"/>
      <c r="IL343" s="1"/>
      <c r="IM343" s="1"/>
      <c r="IN343" s="1"/>
      <c r="IO343" s="1"/>
      <c r="IP343" s="1"/>
      <c r="IQ343" s="1"/>
      <c r="IR343" s="1"/>
      <c r="IS343" s="1"/>
      <c r="IT343" s="1"/>
      <c r="IU343" s="1"/>
    </row>
    <row r="344" spans="14:255" s="30" customFormat="1" ht="12.95" customHeight="1" x14ac:dyDescent="0.2">
      <c r="N344" s="31"/>
      <c r="IB344" s="1"/>
      <c r="IC344" s="1"/>
      <c r="ID344" s="1"/>
      <c r="IE344" s="1"/>
      <c r="IF344" s="1"/>
      <c r="IG344" s="1"/>
      <c r="IH344" s="1"/>
      <c r="II344" s="1"/>
      <c r="IJ344" s="1"/>
      <c r="IK344" s="1"/>
      <c r="IL344" s="1"/>
      <c r="IM344" s="1"/>
      <c r="IN344" s="1"/>
      <c r="IO344" s="1"/>
      <c r="IP344" s="1"/>
      <c r="IQ344" s="1"/>
      <c r="IR344" s="1"/>
      <c r="IS344" s="1"/>
      <c r="IT344" s="1"/>
      <c r="IU344" s="1"/>
    </row>
    <row r="345" spans="14:255" s="30" customFormat="1" ht="12.95" customHeight="1" x14ac:dyDescent="0.2">
      <c r="N345" s="31"/>
      <c r="IB345" s="1"/>
      <c r="IC345" s="1"/>
      <c r="ID345" s="1"/>
      <c r="IE345" s="1"/>
      <c r="IF345" s="1"/>
      <c r="IG345" s="1"/>
      <c r="IH345" s="1"/>
      <c r="II345" s="1"/>
      <c r="IJ345" s="1"/>
      <c r="IK345" s="1"/>
      <c r="IL345" s="1"/>
      <c r="IM345" s="1"/>
      <c r="IN345" s="1"/>
      <c r="IO345" s="1"/>
      <c r="IP345" s="1"/>
      <c r="IQ345" s="1"/>
      <c r="IR345" s="1"/>
      <c r="IS345" s="1"/>
      <c r="IT345" s="1"/>
      <c r="IU345" s="1"/>
    </row>
    <row r="346" spans="14:255" s="30" customFormat="1" ht="12.95" customHeight="1" x14ac:dyDescent="0.2">
      <c r="N346" s="31"/>
      <c r="IB346" s="1"/>
      <c r="IC346" s="1"/>
      <c r="ID346" s="1"/>
      <c r="IE346" s="1"/>
      <c r="IF346" s="1"/>
      <c r="IG346" s="1"/>
      <c r="IH346" s="1"/>
      <c r="II346" s="1"/>
      <c r="IJ346" s="1"/>
      <c r="IK346" s="1"/>
      <c r="IL346" s="1"/>
      <c r="IM346" s="1"/>
      <c r="IN346" s="1"/>
      <c r="IO346" s="1"/>
      <c r="IP346" s="1"/>
      <c r="IQ346" s="1"/>
      <c r="IR346" s="1"/>
      <c r="IS346" s="1"/>
      <c r="IT346" s="1"/>
      <c r="IU346" s="1"/>
    </row>
    <row r="347" spans="14:255" s="30" customFormat="1" ht="12.95" customHeight="1" x14ac:dyDescent="0.2">
      <c r="N347" s="31"/>
      <c r="IB347" s="1"/>
      <c r="IC347" s="1"/>
      <c r="ID347" s="1"/>
      <c r="IE347" s="1"/>
      <c r="IF347" s="1"/>
      <c r="IG347" s="1"/>
      <c r="IH347" s="1"/>
      <c r="II347" s="1"/>
      <c r="IJ347" s="1"/>
      <c r="IK347" s="1"/>
      <c r="IL347" s="1"/>
      <c r="IM347" s="1"/>
      <c r="IN347" s="1"/>
      <c r="IO347" s="1"/>
      <c r="IP347" s="1"/>
      <c r="IQ347" s="1"/>
      <c r="IR347" s="1"/>
      <c r="IS347" s="1"/>
      <c r="IT347" s="1"/>
      <c r="IU347" s="1"/>
    </row>
    <row r="348" spans="14:255" s="30" customFormat="1" ht="12.95" customHeight="1" x14ac:dyDescent="0.2">
      <c r="N348" s="31"/>
      <c r="IB348" s="1"/>
      <c r="IC348" s="1"/>
      <c r="ID348" s="1"/>
      <c r="IE348" s="1"/>
      <c r="IF348" s="1"/>
      <c r="IG348" s="1"/>
      <c r="IH348" s="1"/>
      <c r="II348" s="1"/>
      <c r="IJ348" s="1"/>
      <c r="IK348" s="1"/>
      <c r="IL348" s="1"/>
      <c r="IM348" s="1"/>
      <c r="IN348" s="1"/>
      <c r="IO348" s="1"/>
      <c r="IP348" s="1"/>
      <c r="IQ348" s="1"/>
      <c r="IR348" s="1"/>
      <c r="IS348" s="1"/>
      <c r="IT348" s="1"/>
      <c r="IU348" s="1"/>
    </row>
    <row r="349" spans="14:255" s="30" customFormat="1" ht="12.95" customHeight="1" x14ac:dyDescent="0.2">
      <c r="N349" s="31"/>
      <c r="IB349" s="1"/>
      <c r="IC349" s="1"/>
      <c r="ID349" s="1"/>
      <c r="IE349" s="1"/>
      <c r="IF349" s="1"/>
      <c r="IG349" s="1"/>
      <c r="IH349" s="1"/>
      <c r="II349" s="1"/>
      <c r="IJ349" s="1"/>
      <c r="IK349" s="1"/>
      <c r="IL349" s="1"/>
      <c r="IM349" s="1"/>
      <c r="IN349" s="1"/>
      <c r="IO349" s="1"/>
      <c r="IP349" s="1"/>
      <c r="IQ349" s="1"/>
      <c r="IR349" s="1"/>
      <c r="IS349" s="1"/>
      <c r="IT349" s="1"/>
      <c r="IU349" s="1"/>
    </row>
    <row r="350" spans="14:255" s="30" customFormat="1" ht="12.95" customHeight="1" x14ac:dyDescent="0.2">
      <c r="N350" s="31"/>
      <c r="IB350" s="1"/>
      <c r="IC350" s="1"/>
      <c r="ID350" s="1"/>
      <c r="IE350" s="1"/>
      <c r="IF350" s="1"/>
      <c r="IG350" s="1"/>
      <c r="IH350" s="1"/>
      <c r="II350" s="1"/>
      <c r="IJ350" s="1"/>
      <c r="IK350" s="1"/>
      <c r="IL350" s="1"/>
      <c r="IM350" s="1"/>
      <c r="IN350" s="1"/>
      <c r="IO350" s="1"/>
      <c r="IP350" s="1"/>
      <c r="IQ350" s="1"/>
      <c r="IR350" s="1"/>
      <c r="IS350" s="1"/>
      <c r="IT350" s="1"/>
      <c r="IU350" s="1"/>
    </row>
    <row r="351" spans="14:255" s="30" customFormat="1" ht="12.95" customHeight="1" x14ac:dyDescent="0.2">
      <c r="N351" s="31"/>
      <c r="IB351" s="1"/>
      <c r="IC351" s="1"/>
      <c r="ID351" s="1"/>
      <c r="IE351" s="1"/>
      <c r="IF351" s="1"/>
      <c r="IG351" s="1"/>
      <c r="IH351" s="1"/>
      <c r="II351" s="1"/>
      <c r="IJ351" s="1"/>
      <c r="IK351" s="1"/>
      <c r="IL351" s="1"/>
      <c r="IM351" s="1"/>
      <c r="IN351" s="1"/>
      <c r="IO351" s="1"/>
      <c r="IP351" s="1"/>
      <c r="IQ351" s="1"/>
      <c r="IR351" s="1"/>
      <c r="IS351" s="1"/>
      <c r="IT351" s="1"/>
      <c r="IU351" s="1"/>
    </row>
    <row r="352" spans="14:255" s="30" customFormat="1" ht="12.95" customHeight="1" x14ac:dyDescent="0.2">
      <c r="N352" s="31"/>
      <c r="IB352" s="1"/>
      <c r="IC352" s="1"/>
      <c r="ID352" s="1"/>
      <c r="IE352" s="1"/>
      <c r="IF352" s="1"/>
      <c r="IG352" s="1"/>
      <c r="IH352" s="1"/>
      <c r="II352" s="1"/>
      <c r="IJ352" s="1"/>
      <c r="IK352" s="1"/>
      <c r="IL352" s="1"/>
      <c r="IM352" s="1"/>
      <c r="IN352" s="1"/>
      <c r="IO352" s="1"/>
      <c r="IP352" s="1"/>
      <c r="IQ352" s="1"/>
      <c r="IR352" s="1"/>
      <c r="IS352" s="1"/>
      <c r="IT352" s="1"/>
      <c r="IU352" s="1"/>
    </row>
    <row r="353" spans="14:255" s="30" customFormat="1" ht="12.95" customHeight="1" x14ac:dyDescent="0.2">
      <c r="N353" s="31"/>
      <c r="IB353" s="1"/>
      <c r="IC353" s="1"/>
      <c r="ID353" s="1"/>
      <c r="IE353" s="1"/>
      <c r="IF353" s="1"/>
      <c r="IG353" s="1"/>
      <c r="IH353" s="1"/>
      <c r="II353" s="1"/>
      <c r="IJ353" s="1"/>
      <c r="IK353" s="1"/>
      <c r="IL353" s="1"/>
      <c r="IM353" s="1"/>
      <c r="IN353" s="1"/>
      <c r="IO353" s="1"/>
      <c r="IP353" s="1"/>
      <c r="IQ353" s="1"/>
      <c r="IR353" s="1"/>
      <c r="IS353" s="1"/>
      <c r="IT353" s="1"/>
      <c r="IU353" s="1"/>
    </row>
    <row r="354" spans="14:255" s="30" customFormat="1" ht="12.95" customHeight="1" x14ac:dyDescent="0.2">
      <c r="N354" s="31"/>
      <c r="IB354" s="1"/>
      <c r="IC354" s="1"/>
      <c r="ID354" s="1"/>
      <c r="IE354" s="1"/>
      <c r="IF354" s="1"/>
      <c r="IG354" s="1"/>
      <c r="IH354" s="1"/>
      <c r="II354" s="1"/>
      <c r="IJ354" s="1"/>
      <c r="IK354" s="1"/>
      <c r="IL354" s="1"/>
      <c r="IM354" s="1"/>
      <c r="IN354" s="1"/>
      <c r="IO354" s="1"/>
      <c r="IP354" s="1"/>
      <c r="IQ354" s="1"/>
      <c r="IR354" s="1"/>
      <c r="IS354" s="1"/>
      <c r="IT354" s="1"/>
      <c r="IU354" s="1"/>
    </row>
    <row r="355" spans="14:255" s="30" customFormat="1" ht="12.95" customHeight="1" x14ac:dyDescent="0.2">
      <c r="N355" s="31"/>
      <c r="IB355" s="1"/>
      <c r="IC355" s="1"/>
      <c r="ID355" s="1"/>
      <c r="IE355" s="1"/>
      <c r="IF355" s="1"/>
      <c r="IG355" s="1"/>
      <c r="IH355" s="1"/>
      <c r="II355" s="1"/>
      <c r="IJ355" s="1"/>
      <c r="IK355" s="1"/>
      <c r="IL355" s="1"/>
      <c r="IM355" s="1"/>
      <c r="IN355" s="1"/>
      <c r="IO355" s="1"/>
      <c r="IP355" s="1"/>
      <c r="IQ355" s="1"/>
      <c r="IR355" s="1"/>
      <c r="IS355" s="1"/>
      <c r="IT355" s="1"/>
      <c r="IU355" s="1"/>
    </row>
    <row r="356" spans="14:255" s="30" customFormat="1" ht="12.95" customHeight="1" x14ac:dyDescent="0.2">
      <c r="N356" s="31"/>
      <c r="IB356" s="1"/>
      <c r="IC356" s="1"/>
      <c r="ID356" s="1"/>
      <c r="IE356" s="1"/>
      <c r="IF356" s="1"/>
      <c r="IG356" s="1"/>
      <c r="IH356" s="1"/>
      <c r="II356" s="1"/>
      <c r="IJ356" s="1"/>
      <c r="IK356" s="1"/>
      <c r="IL356" s="1"/>
      <c r="IM356" s="1"/>
      <c r="IN356" s="1"/>
      <c r="IO356" s="1"/>
      <c r="IP356" s="1"/>
      <c r="IQ356" s="1"/>
      <c r="IR356" s="1"/>
      <c r="IS356" s="1"/>
      <c r="IT356" s="1"/>
      <c r="IU356" s="1"/>
    </row>
    <row r="357" spans="14:255" s="30" customFormat="1" ht="12.95" customHeight="1" x14ac:dyDescent="0.2">
      <c r="N357" s="31"/>
      <c r="IB357" s="1"/>
      <c r="IC357" s="1"/>
      <c r="ID357" s="1"/>
      <c r="IE357" s="1"/>
      <c r="IF357" s="1"/>
      <c r="IG357" s="1"/>
      <c r="IH357" s="1"/>
      <c r="II357" s="1"/>
      <c r="IJ357" s="1"/>
      <c r="IK357" s="1"/>
      <c r="IL357" s="1"/>
      <c r="IM357" s="1"/>
      <c r="IN357" s="1"/>
      <c r="IO357" s="1"/>
      <c r="IP357" s="1"/>
      <c r="IQ357" s="1"/>
      <c r="IR357" s="1"/>
      <c r="IS357" s="1"/>
      <c r="IT357" s="1"/>
      <c r="IU357" s="1"/>
    </row>
    <row r="358" spans="14:255" s="30" customFormat="1" ht="12.95" customHeight="1" x14ac:dyDescent="0.2">
      <c r="N358" s="31"/>
      <c r="IB358" s="1"/>
      <c r="IC358" s="1"/>
      <c r="ID358" s="1"/>
      <c r="IE358" s="1"/>
      <c r="IF358" s="1"/>
      <c r="IG358" s="1"/>
      <c r="IH358" s="1"/>
      <c r="II358" s="1"/>
      <c r="IJ358" s="1"/>
      <c r="IK358" s="1"/>
      <c r="IL358" s="1"/>
      <c r="IM358" s="1"/>
      <c r="IN358" s="1"/>
      <c r="IO358" s="1"/>
      <c r="IP358" s="1"/>
      <c r="IQ358" s="1"/>
      <c r="IR358" s="1"/>
      <c r="IS358" s="1"/>
      <c r="IT358" s="1"/>
      <c r="IU358" s="1"/>
    </row>
    <row r="359" spans="14:255" s="30" customFormat="1" ht="12.95" customHeight="1" x14ac:dyDescent="0.2">
      <c r="N359" s="31"/>
      <c r="IB359" s="1"/>
      <c r="IC359" s="1"/>
      <c r="ID359" s="1"/>
      <c r="IE359" s="1"/>
      <c r="IF359" s="1"/>
      <c r="IG359" s="1"/>
      <c r="IH359" s="1"/>
      <c r="II359" s="1"/>
      <c r="IJ359" s="1"/>
      <c r="IK359" s="1"/>
      <c r="IL359" s="1"/>
      <c r="IM359" s="1"/>
      <c r="IN359" s="1"/>
      <c r="IO359" s="1"/>
      <c r="IP359" s="1"/>
      <c r="IQ359" s="1"/>
      <c r="IR359" s="1"/>
      <c r="IS359" s="1"/>
      <c r="IT359" s="1"/>
      <c r="IU359" s="1"/>
    </row>
    <row r="360" spans="14:255" s="30" customFormat="1" ht="12.95" customHeight="1" x14ac:dyDescent="0.2">
      <c r="N360" s="31"/>
      <c r="IB360" s="1"/>
      <c r="IC360" s="1"/>
      <c r="ID360" s="1"/>
      <c r="IE360" s="1"/>
      <c r="IF360" s="1"/>
      <c r="IG360" s="1"/>
      <c r="IH360" s="1"/>
      <c r="II360" s="1"/>
      <c r="IJ360" s="1"/>
      <c r="IK360" s="1"/>
      <c r="IL360" s="1"/>
      <c r="IM360" s="1"/>
      <c r="IN360" s="1"/>
      <c r="IO360" s="1"/>
      <c r="IP360" s="1"/>
      <c r="IQ360" s="1"/>
      <c r="IR360" s="1"/>
      <c r="IS360" s="1"/>
      <c r="IT360" s="1"/>
      <c r="IU360" s="1"/>
    </row>
    <row r="361" spans="14:255" s="30" customFormat="1" ht="12.95" customHeight="1" x14ac:dyDescent="0.2">
      <c r="N361" s="31"/>
      <c r="IB361" s="1"/>
      <c r="IC361" s="1"/>
      <c r="ID361" s="1"/>
      <c r="IE361" s="1"/>
      <c r="IF361" s="1"/>
      <c r="IG361" s="1"/>
      <c r="IH361" s="1"/>
      <c r="II361" s="1"/>
      <c r="IJ361" s="1"/>
      <c r="IK361" s="1"/>
      <c r="IL361" s="1"/>
      <c r="IM361" s="1"/>
      <c r="IN361" s="1"/>
      <c r="IO361" s="1"/>
      <c r="IP361" s="1"/>
      <c r="IQ361" s="1"/>
      <c r="IR361" s="1"/>
      <c r="IS361" s="1"/>
      <c r="IT361" s="1"/>
      <c r="IU361" s="1"/>
    </row>
    <row r="362" spans="14:255" s="30" customFormat="1" ht="12.95" customHeight="1" x14ac:dyDescent="0.2">
      <c r="N362" s="31"/>
      <c r="IB362" s="1"/>
      <c r="IC362" s="1"/>
      <c r="ID362" s="1"/>
      <c r="IE362" s="1"/>
      <c r="IF362" s="1"/>
      <c r="IG362" s="1"/>
      <c r="IH362" s="1"/>
      <c r="II362" s="1"/>
      <c r="IJ362" s="1"/>
      <c r="IK362" s="1"/>
      <c r="IL362" s="1"/>
      <c r="IM362" s="1"/>
      <c r="IN362" s="1"/>
      <c r="IO362" s="1"/>
      <c r="IP362" s="1"/>
      <c r="IQ362" s="1"/>
      <c r="IR362" s="1"/>
      <c r="IS362" s="1"/>
      <c r="IT362" s="1"/>
      <c r="IU362" s="1"/>
    </row>
    <row r="363" spans="14:255" s="30" customFormat="1" ht="12.95" customHeight="1" x14ac:dyDescent="0.2">
      <c r="N363" s="31"/>
      <c r="IB363" s="1"/>
      <c r="IC363" s="1"/>
      <c r="ID363" s="1"/>
      <c r="IE363" s="1"/>
      <c r="IF363" s="1"/>
      <c r="IG363" s="1"/>
      <c r="IH363" s="1"/>
      <c r="II363" s="1"/>
      <c r="IJ363" s="1"/>
      <c r="IK363" s="1"/>
      <c r="IL363" s="1"/>
      <c r="IM363" s="1"/>
      <c r="IN363" s="1"/>
      <c r="IO363" s="1"/>
      <c r="IP363" s="1"/>
      <c r="IQ363" s="1"/>
      <c r="IR363" s="1"/>
      <c r="IS363" s="1"/>
      <c r="IT363" s="1"/>
      <c r="IU363" s="1"/>
    </row>
    <row r="364" spans="14:255" s="30" customFormat="1" ht="12.95" customHeight="1" x14ac:dyDescent="0.2">
      <c r="N364" s="31"/>
      <c r="IB364" s="1"/>
      <c r="IC364" s="1"/>
      <c r="ID364" s="1"/>
      <c r="IE364" s="1"/>
      <c r="IF364" s="1"/>
      <c r="IG364" s="1"/>
      <c r="IH364" s="1"/>
      <c r="II364" s="1"/>
      <c r="IJ364" s="1"/>
      <c r="IK364" s="1"/>
      <c r="IL364" s="1"/>
      <c r="IM364" s="1"/>
      <c r="IN364" s="1"/>
      <c r="IO364" s="1"/>
      <c r="IP364" s="1"/>
      <c r="IQ364" s="1"/>
      <c r="IR364" s="1"/>
      <c r="IS364" s="1"/>
      <c r="IT364" s="1"/>
      <c r="IU364" s="1"/>
    </row>
    <row r="365" spans="14:255" s="30" customFormat="1" ht="12.95" customHeight="1" x14ac:dyDescent="0.2">
      <c r="N365" s="31"/>
      <c r="IB365" s="1"/>
      <c r="IC365" s="1"/>
      <c r="ID365" s="1"/>
      <c r="IE365" s="1"/>
      <c r="IF365" s="1"/>
      <c r="IG365" s="1"/>
      <c r="IH365" s="1"/>
      <c r="II365" s="1"/>
      <c r="IJ365" s="1"/>
      <c r="IK365" s="1"/>
      <c r="IL365" s="1"/>
      <c r="IM365" s="1"/>
      <c r="IN365" s="1"/>
      <c r="IO365" s="1"/>
      <c r="IP365" s="1"/>
      <c r="IQ365" s="1"/>
      <c r="IR365" s="1"/>
      <c r="IS365" s="1"/>
      <c r="IT365" s="1"/>
      <c r="IU365" s="1"/>
    </row>
    <row r="366" spans="14:255" s="30" customFormat="1" ht="12.95" customHeight="1" x14ac:dyDescent="0.2">
      <c r="N366" s="31"/>
      <c r="IB366" s="1"/>
      <c r="IC366" s="1"/>
      <c r="ID366" s="1"/>
      <c r="IE366" s="1"/>
      <c r="IF366" s="1"/>
      <c r="IG366" s="1"/>
      <c r="IH366" s="1"/>
      <c r="II366" s="1"/>
      <c r="IJ366" s="1"/>
      <c r="IK366" s="1"/>
      <c r="IL366" s="1"/>
      <c r="IM366" s="1"/>
      <c r="IN366" s="1"/>
      <c r="IO366" s="1"/>
      <c r="IP366" s="1"/>
      <c r="IQ366" s="1"/>
      <c r="IR366" s="1"/>
      <c r="IS366" s="1"/>
      <c r="IT366" s="1"/>
      <c r="IU366" s="1"/>
    </row>
    <row r="367" spans="14:255" s="30" customFormat="1" ht="12.95" customHeight="1" x14ac:dyDescent="0.2">
      <c r="N367" s="31"/>
      <c r="IB367" s="1"/>
      <c r="IC367" s="1"/>
      <c r="ID367" s="1"/>
      <c r="IE367" s="1"/>
      <c r="IF367" s="1"/>
      <c r="IG367" s="1"/>
      <c r="IH367" s="1"/>
      <c r="II367" s="1"/>
      <c r="IJ367" s="1"/>
      <c r="IK367" s="1"/>
      <c r="IL367" s="1"/>
      <c r="IM367" s="1"/>
      <c r="IN367" s="1"/>
      <c r="IO367" s="1"/>
      <c r="IP367" s="1"/>
      <c r="IQ367" s="1"/>
      <c r="IR367" s="1"/>
      <c r="IS367" s="1"/>
      <c r="IT367" s="1"/>
      <c r="IU367" s="1"/>
    </row>
    <row r="368" spans="14:255" s="30" customFormat="1" ht="12.95" customHeight="1" x14ac:dyDescent="0.2">
      <c r="N368" s="31"/>
      <c r="IB368" s="1"/>
      <c r="IC368" s="1"/>
      <c r="ID368" s="1"/>
      <c r="IE368" s="1"/>
      <c r="IF368" s="1"/>
      <c r="IG368" s="1"/>
      <c r="IH368" s="1"/>
      <c r="II368" s="1"/>
      <c r="IJ368" s="1"/>
      <c r="IK368" s="1"/>
      <c r="IL368" s="1"/>
      <c r="IM368" s="1"/>
      <c r="IN368" s="1"/>
      <c r="IO368" s="1"/>
      <c r="IP368" s="1"/>
      <c r="IQ368" s="1"/>
      <c r="IR368" s="1"/>
      <c r="IS368" s="1"/>
      <c r="IT368" s="1"/>
      <c r="IU368" s="1"/>
    </row>
    <row r="369" spans="14:255" s="30" customFormat="1" ht="12.95" customHeight="1" x14ac:dyDescent="0.2">
      <c r="N369" s="31"/>
      <c r="IB369" s="1"/>
      <c r="IC369" s="1"/>
      <c r="ID369" s="1"/>
      <c r="IE369" s="1"/>
      <c r="IF369" s="1"/>
      <c r="IG369" s="1"/>
      <c r="IH369" s="1"/>
      <c r="II369" s="1"/>
      <c r="IJ369" s="1"/>
      <c r="IK369" s="1"/>
      <c r="IL369" s="1"/>
      <c r="IM369" s="1"/>
      <c r="IN369" s="1"/>
      <c r="IO369" s="1"/>
      <c r="IP369" s="1"/>
      <c r="IQ369" s="1"/>
      <c r="IR369" s="1"/>
      <c r="IS369" s="1"/>
      <c r="IT369" s="1"/>
      <c r="IU369" s="1"/>
    </row>
    <row r="370" spans="14:255" s="30" customFormat="1" ht="12.95" customHeight="1" x14ac:dyDescent="0.2">
      <c r="N370" s="31"/>
      <c r="IB370" s="1"/>
      <c r="IC370" s="1"/>
      <c r="ID370" s="1"/>
      <c r="IE370" s="1"/>
      <c r="IF370" s="1"/>
      <c r="IG370" s="1"/>
      <c r="IH370" s="1"/>
      <c r="II370" s="1"/>
      <c r="IJ370" s="1"/>
      <c r="IK370" s="1"/>
      <c r="IL370" s="1"/>
      <c r="IM370" s="1"/>
      <c r="IN370" s="1"/>
      <c r="IO370" s="1"/>
      <c r="IP370" s="1"/>
      <c r="IQ370" s="1"/>
      <c r="IR370" s="1"/>
      <c r="IS370" s="1"/>
      <c r="IT370" s="1"/>
      <c r="IU370" s="1"/>
    </row>
    <row r="371" spans="14:255" s="30" customFormat="1" ht="12.95" customHeight="1" x14ac:dyDescent="0.2">
      <c r="N371" s="31"/>
      <c r="IB371" s="1"/>
      <c r="IC371" s="1"/>
      <c r="ID371" s="1"/>
      <c r="IE371" s="1"/>
      <c r="IF371" s="1"/>
      <c r="IG371" s="1"/>
      <c r="IH371" s="1"/>
      <c r="II371" s="1"/>
      <c r="IJ371" s="1"/>
      <c r="IK371" s="1"/>
      <c r="IL371" s="1"/>
      <c r="IM371" s="1"/>
      <c r="IN371" s="1"/>
      <c r="IO371" s="1"/>
      <c r="IP371" s="1"/>
      <c r="IQ371" s="1"/>
      <c r="IR371" s="1"/>
      <c r="IS371" s="1"/>
      <c r="IT371" s="1"/>
      <c r="IU371" s="1"/>
    </row>
    <row r="372" spans="14:255" s="30" customFormat="1" ht="12.95" customHeight="1" x14ac:dyDescent="0.2">
      <c r="N372" s="31"/>
      <c r="IB372" s="1"/>
      <c r="IC372" s="1"/>
      <c r="ID372" s="1"/>
      <c r="IE372" s="1"/>
      <c r="IF372" s="1"/>
      <c r="IG372" s="1"/>
      <c r="IH372" s="1"/>
      <c r="II372" s="1"/>
      <c r="IJ372" s="1"/>
      <c r="IK372" s="1"/>
      <c r="IL372" s="1"/>
      <c r="IM372" s="1"/>
      <c r="IN372" s="1"/>
      <c r="IO372" s="1"/>
      <c r="IP372" s="1"/>
      <c r="IQ372" s="1"/>
      <c r="IR372" s="1"/>
      <c r="IS372" s="1"/>
      <c r="IT372" s="1"/>
      <c r="IU372" s="1"/>
    </row>
    <row r="373" spans="14:255" s="30" customFormat="1" ht="12.95" customHeight="1" x14ac:dyDescent="0.2">
      <c r="N373" s="31"/>
      <c r="IB373" s="1"/>
      <c r="IC373" s="1"/>
      <c r="ID373" s="1"/>
      <c r="IE373" s="1"/>
      <c r="IF373" s="1"/>
      <c r="IG373" s="1"/>
      <c r="IH373" s="1"/>
      <c r="II373" s="1"/>
      <c r="IJ373" s="1"/>
      <c r="IK373" s="1"/>
      <c r="IL373" s="1"/>
      <c r="IM373" s="1"/>
      <c r="IN373" s="1"/>
      <c r="IO373" s="1"/>
      <c r="IP373" s="1"/>
      <c r="IQ373" s="1"/>
      <c r="IR373" s="1"/>
      <c r="IS373" s="1"/>
      <c r="IT373" s="1"/>
      <c r="IU373" s="1"/>
    </row>
    <row r="374" spans="14:255" s="30" customFormat="1" ht="12.95" customHeight="1" x14ac:dyDescent="0.2">
      <c r="N374" s="31"/>
      <c r="IB374" s="1"/>
      <c r="IC374" s="1"/>
      <c r="ID374" s="1"/>
      <c r="IE374" s="1"/>
      <c r="IF374" s="1"/>
      <c r="IG374" s="1"/>
      <c r="IH374" s="1"/>
      <c r="II374" s="1"/>
      <c r="IJ374" s="1"/>
      <c r="IK374" s="1"/>
      <c r="IL374" s="1"/>
      <c r="IM374" s="1"/>
      <c r="IN374" s="1"/>
      <c r="IO374" s="1"/>
      <c r="IP374" s="1"/>
      <c r="IQ374" s="1"/>
      <c r="IR374" s="1"/>
      <c r="IS374" s="1"/>
      <c r="IT374" s="1"/>
      <c r="IU374" s="1"/>
    </row>
    <row r="375" spans="14:255" s="30" customFormat="1" ht="12.95" customHeight="1" x14ac:dyDescent="0.2">
      <c r="N375" s="31"/>
      <c r="IB375" s="1"/>
      <c r="IC375" s="1"/>
      <c r="ID375" s="1"/>
      <c r="IE375" s="1"/>
      <c r="IF375" s="1"/>
      <c r="IG375" s="1"/>
      <c r="IH375" s="1"/>
      <c r="II375" s="1"/>
      <c r="IJ375" s="1"/>
      <c r="IK375" s="1"/>
      <c r="IL375" s="1"/>
      <c r="IM375" s="1"/>
      <c r="IN375" s="1"/>
      <c r="IO375" s="1"/>
      <c r="IP375" s="1"/>
      <c r="IQ375" s="1"/>
      <c r="IR375" s="1"/>
      <c r="IS375" s="1"/>
      <c r="IT375" s="1"/>
      <c r="IU375" s="1"/>
    </row>
    <row r="376" spans="14:255" s="30" customFormat="1" ht="12.95" customHeight="1" x14ac:dyDescent="0.2">
      <c r="N376" s="31"/>
      <c r="IB376" s="1"/>
      <c r="IC376" s="1"/>
      <c r="ID376" s="1"/>
      <c r="IE376" s="1"/>
      <c r="IF376" s="1"/>
      <c r="IG376" s="1"/>
      <c r="IH376" s="1"/>
      <c r="II376" s="1"/>
      <c r="IJ376" s="1"/>
      <c r="IK376" s="1"/>
      <c r="IL376" s="1"/>
      <c r="IM376" s="1"/>
      <c r="IN376" s="1"/>
      <c r="IO376" s="1"/>
      <c r="IP376" s="1"/>
      <c r="IQ376" s="1"/>
      <c r="IR376" s="1"/>
      <c r="IS376" s="1"/>
      <c r="IT376" s="1"/>
      <c r="IU376" s="1"/>
    </row>
    <row r="377" spans="14:255" s="30" customFormat="1" ht="12.95" customHeight="1" x14ac:dyDescent="0.2">
      <c r="N377" s="31"/>
      <c r="IB377" s="1"/>
      <c r="IC377" s="1"/>
      <c r="ID377" s="1"/>
      <c r="IE377" s="1"/>
      <c r="IF377" s="1"/>
      <c r="IG377" s="1"/>
      <c r="IH377" s="1"/>
      <c r="II377" s="1"/>
      <c r="IJ377" s="1"/>
      <c r="IK377" s="1"/>
      <c r="IL377" s="1"/>
      <c r="IM377" s="1"/>
      <c r="IN377" s="1"/>
      <c r="IO377" s="1"/>
      <c r="IP377" s="1"/>
      <c r="IQ377" s="1"/>
      <c r="IR377" s="1"/>
      <c r="IS377" s="1"/>
      <c r="IT377" s="1"/>
      <c r="IU377" s="1"/>
    </row>
    <row r="378" spans="14:255" s="30" customFormat="1" ht="12.95" customHeight="1" x14ac:dyDescent="0.2">
      <c r="N378" s="31"/>
      <c r="IB378" s="1"/>
      <c r="IC378" s="1"/>
      <c r="ID378" s="1"/>
      <c r="IE378" s="1"/>
      <c r="IF378" s="1"/>
      <c r="IG378" s="1"/>
      <c r="IH378" s="1"/>
      <c r="II378" s="1"/>
      <c r="IJ378" s="1"/>
      <c r="IK378" s="1"/>
      <c r="IL378" s="1"/>
      <c r="IM378" s="1"/>
      <c r="IN378" s="1"/>
      <c r="IO378" s="1"/>
      <c r="IP378" s="1"/>
      <c r="IQ378" s="1"/>
      <c r="IR378" s="1"/>
      <c r="IS378" s="1"/>
      <c r="IT378" s="1"/>
      <c r="IU378" s="1"/>
    </row>
    <row r="379" spans="14:255" s="30" customFormat="1" ht="12.95" customHeight="1" x14ac:dyDescent="0.2">
      <c r="N379" s="31"/>
      <c r="IB379" s="1"/>
      <c r="IC379" s="1"/>
      <c r="ID379" s="1"/>
      <c r="IE379" s="1"/>
      <c r="IF379" s="1"/>
      <c r="IG379" s="1"/>
      <c r="IH379" s="1"/>
      <c r="II379" s="1"/>
      <c r="IJ379" s="1"/>
      <c r="IK379" s="1"/>
      <c r="IL379" s="1"/>
      <c r="IM379" s="1"/>
      <c r="IN379" s="1"/>
      <c r="IO379" s="1"/>
      <c r="IP379" s="1"/>
      <c r="IQ379" s="1"/>
      <c r="IR379" s="1"/>
      <c r="IS379" s="1"/>
      <c r="IT379" s="1"/>
      <c r="IU379" s="1"/>
    </row>
    <row r="380" spans="14:255" s="30" customFormat="1" ht="12.95" customHeight="1" x14ac:dyDescent="0.2">
      <c r="N380" s="31"/>
      <c r="IB380" s="1"/>
      <c r="IC380" s="1"/>
      <c r="ID380" s="1"/>
      <c r="IE380" s="1"/>
      <c r="IF380" s="1"/>
      <c r="IG380" s="1"/>
      <c r="IH380" s="1"/>
      <c r="II380" s="1"/>
      <c r="IJ380" s="1"/>
      <c r="IK380" s="1"/>
      <c r="IL380" s="1"/>
      <c r="IM380" s="1"/>
      <c r="IN380" s="1"/>
      <c r="IO380" s="1"/>
      <c r="IP380" s="1"/>
      <c r="IQ380" s="1"/>
      <c r="IR380" s="1"/>
      <c r="IS380" s="1"/>
      <c r="IT380" s="1"/>
      <c r="IU380" s="1"/>
    </row>
    <row r="381" spans="14:255" s="30" customFormat="1" ht="12.95" customHeight="1" x14ac:dyDescent="0.2">
      <c r="N381" s="31"/>
      <c r="IB381" s="1"/>
      <c r="IC381" s="1"/>
      <c r="ID381" s="1"/>
      <c r="IE381" s="1"/>
      <c r="IF381" s="1"/>
      <c r="IG381" s="1"/>
      <c r="IH381" s="1"/>
      <c r="II381" s="1"/>
      <c r="IJ381" s="1"/>
      <c r="IK381" s="1"/>
      <c r="IL381" s="1"/>
      <c r="IM381" s="1"/>
      <c r="IN381" s="1"/>
      <c r="IO381" s="1"/>
      <c r="IP381" s="1"/>
      <c r="IQ381" s="1"/>
      <c r="IR381" s="1"/>
      <c r="IS381" s="1"/>
      <c r="IT381" s="1"/>
      <c r="IU381" s="1"/>
    </row>
    <row r="382" spans="14:255" s="30" customFormat="1" ht="12.95" customHeight="1" x14ac:dyDescent="0.2">
      <c r="N382" s="31"/>
      <c r="IB382" s="1"/>
      <c r="IC382" s="1"/>
      <c r="ID382" s="1"/>
      <c r="IE382" s="1"/>
      <c r="IF382" s="1"/>
      <c r="IG382" s="1"/>
      <c r="IH382" s="1"/>
      <c r="II382" s="1"/>
      <c r="IJ382" s="1"/>
      <c r="IK382" s="1"/>
      <c r="IL382" s="1"/>
      <c r="IM382" s="1"/>
      <c r="IN382" s="1"/>
      <c r="IO382" s="1"/>
      <c r="IP382" s="1"/>
      <c r="IQ382" s="1"/>
      <c r="IR382" s="1"/>
      <c r="IS382" s="1"/>
      <c r="IT382" s="1"/>
      <c r="IU382" s="1"/>
    </row>
    <row r="383" spans="14:255" s="30" customFormat="1" ht="12.95" customHeight="1" x14ac:dyDescent="0.2">
      <c r="N383" s="31"/>
      <c r="IB383" s="1"/>
      <c r="IC383" s="1"/>
      <c r="ID383" s="1"/>
      <c r="IE383" s="1"/>
      <c r="IF383" s="1"/>
      <c r="IG383" s="1"/>
      <c r="IH383" s="1"/>
      <c r="II383" s="1"/>
      <c r="IJ383" s="1"/>
      <c r="IK383" s="1"/>
      <c r="IL383" s="1"/>
      <c r="IM383" s="1"/>
      <c r="IN383" s="1"/>
      <c r="IO383" s="1"/>
      <c r="IP383" s="1"/>
      <c r="IQ383" s="1"/>
      <c r="IR383" s="1"/>
      <c r="IS383" s="1"/>
      <c r="IT383" s="1"/>
      <c r="IU383" s="1"/>
    </row>
    <row r="384" spans="14:255" s="30" customFormat="1" ht="12.95" customHeight="1" x14ac:dyDescent="0.2">
      <c r="N384" s="31"/>
      <c r="IB384" s="1"/>
      <c r="IC384" s="1"/>
      <c r="ID384" s="1"/>
      <c r="IE384" s="1"/>
      <c r="IF384" s="1"/>
      <c r="IG384" s="1"/>
      <c r="IH384" s="1"/>
      <c r="II384" s="1"/>
      <c r="IJ384" s="1"/>
      <c r="IK384" s="1"/>
      <c r="IL384" s="1"/>
      <c r="IM384" s="1"/>
      <c r="IN384" s="1"/>
      <c r="IO384" s="1"/>
      <c r="IP384" s="1"/>
      <c r="IQ384" s="1"/>
      <c r="IR384" s="1"/>
      <c r="IS384" s="1"/>
      <c r="IT384" s="1"/>
      <c r="IU384" s="1"/>
    </row>
    <row r="385" spans="14:255" s="30" customFormat="1" ht="12.95" customHeight="1" x14ac:dyDescent="0.2">
      <c r="N385" s="31"/>
      <c r="IB385" s="1"/>
      <c r="IC385" s="1"/>
      <c r="ID385" s="1"/>
      <c r="IE385" s="1"/>
      <c r="IF385" s="1"/>
      <c r="IG385" s="1"/>
      <c r="IH385" s="1"/>
      <c r="II385" s="1"/>
      <c r="IJ385" s="1"/>
      <c r="IK385" s="1"/>
      <c r="IL385" s="1"/>
      <c r="IM385" s="1"/>
      <c r="IN385" s="1"/>
      <c r="IO385" s="1"/>
      <c r="IP385" s="1"/>
      <c r="IQ385" s="1"/>
      <c r="IR385" s="1"/>
      <c r="IS385" s="1"/>
      <c r="IT385" s="1"/>
      <c r="IU385" s="1"/>
    </row>
    <row r="386" spans="14:255" s="30" customFormat="1" ht="12.95" customHeight="1" x14ac:dyDescent="0.2">
      <c r="N386" s="31"/>
      <c r="IB386" s="1"/>
      <c r="IC386" s="1"/>
      <c r="ID386" s="1"/>
      <c r="IE386" s="1"/>
      <c r="IF386" s="1"/>
      <c r="IG386" s="1"/>
      <c r="IH386" s="1"/>
      <c r="II386" s="1"/>
      <c r="IJ386" s="1"/>
      <c r="IK386" s="1"/>
      <c r="IL386" s="1"/>
      <c r="IM386" s="1"/>
      <c r="IN386" s="1"/>
      <c r="IO386" s="1"/>
      <c r="IP386" s="1"/>
      <c r="IQ386" s="1"/>
      <c r="IR386" s="1"/>
      <c r="IS386" s="1"/>
      <c r="IT386" s="1"/>
      <c r="IU386" s="1"/>
    </row>
    <row r="387" spans="14:255" s="30" customFormat="1" ht="12.95" customHeight="1" x14ac:dyDescent="0.2">
      <c r="N387" s="31"/>
      <c r="IB387" s="1"/>
      <c r="IC387" s="1"/>
      <c r="ID387" s="1"/>
      <c r="IE387" s="1"/>
      <c r="IF387" s="1"/>
      <c r="IG387" s="1"/>
      <c r="IH387" s="1"/>
      <c r="II387" s="1"/>
      <c r="IJ387" s="1"/>
      <c r="IK387" s="1"/>
      <c r="IL387" s="1"/>
      <c r="IM387" s="1"/>
      <c r="IN387" s="1"/>
      <c r="IO387" s="1"/>
      <c r="IP387" s="1"/>
      <c r="IQ387" s="1"/>
      <c r="IR387" s="1"/>
      <c r="IS387" s="1"/>
      <c r="IT387" s="1"/>
      <c r="IU387" s="1"/>
    </row>
    <row r="388" spans="14:255" s="30" customFormat="1" ht="12.95" customHeight="1" x14ac:dyDescent="0.2">
      <c r="N388" s="31"/>
      <c r="IB388" s="1"/>
      <c r="IC388" s="1"/>
      <c r="ID388" s="1"/>
      <c r="IE388" s="1"/>
      <c r="IF388" s="1"/>
      <c r="IG388" s="1"/>
      <c r="IH388" s="1"/>
      <c r="II388" s="1"/>
      <c r="IJ388" s="1"/>
      <c r="IK388" s="1"/>
      <c r="IL388" s="1"/>
      <c r="IM388" s="1"/>
      <c r="IN388" s="1"/>
      <c r="IO388" s="1"/>
      <c r="IP388" s="1"/>
      <c r="IQ388" s="1"/>
      <c r="IR388" s="1"/>
      <c r="IS388" s="1"/>
      <c r="IT388" s="1"/>
      <c r="IU388" s="1"/>
    </row>
    <row r="389" spans="14:255" s="30" customFormat="1" ht="12.95" customHeight="1" x14ac:dyDescent="0.2">
      <c r="N389" s="31"/>
      <c r="IB389" s="1"/>
      <c r="IC389" s="1"/>
      <c r="ID389" s="1"/>
      <c r="IE389" s="1"/>
      <c r="IF389" s="1"/>
      <c r="IG389" s="1"/>
      <c r="IH389" s="1"/>
      <c r="II389" s="1"/>
      <c r="IJ389" s="1"/>
      <c r="IK389" s="1"/>
      <c r="IL389" s="1"/>
      <c r="IM389" s="1"/>
      <c r="IN389" s="1"/>
      <c r="IO389" s="1"/>
      <c r="IP389" s="1"/>
      <c r="IQ389" s="1"/>
      <c r="IR389" s="1"/>
      <c r="IS389" s="1"/>
      <c r="IT389" s="1"/>
      <c r="IU389" s="1"/>
    </row>
    <row r="390" spans="14:255" s="30" customFormat="1" ht="12.95" customHeight="1" x14ac:dyDescent="0.2">
      <c r="N390" s="31"/>
      <c r="IB390" s="1"/>
      <c r="IC390" s="1"/>
      <c r="ID390" s="1"/>
      <c r="IE390" s="1"/>
      <c r="IF390" s="1"/>
      <c r="IG390" s="1"/>
      <c r="IH390" s="1"/>
      <c r="II390" s="1"/>
      <c r="IJ390" s="1"/>
      <c r="IK390" s="1"/>
      <c r="IL390" s="1"/>
      <c r="IM390" s="1"/>
      <c r="IN390" s="1"/>
      <c r="IO390" s="1"/>
      <c r="IP390" s="1"/>
      <c r="IQ390" s="1"/>
      <c r="IR390" s="1"/>
      <c r="IS390" s="1"/>
      <c r="IT390" s="1"/>
      <c r="IU390" s="1"/>
    </row>
    <row r="391" spans="14:255" s="30" customFormat="1" ht="12.95" customHeight="1" x14ac:dyDescent="0.2">
      <c r="N391" s="31"/>
      <c r="IB391" s="1"/>
      <c r="IC391" s="1"/>
      <c r="ID391" s="1"/>
      <c r="IE391" s="1"/>
      <c r="IF391" s="1"/>
      <c r="IG391" s="1"/>
      <c r="IH391" s="1"/>
      <c r="II391" s="1"/>
      <c r="IJ391" s="1"/>
      <c r="IK391" s="1"/>
      <c r="IL391" s="1"/>
      <c r="IM391" s="1"/>
      <c r="IN391" s="1"/>
      <c r="IO391" s="1"/>
      <c r="IP391" s="1"/>
      <c r="IQ391" s="1"/>
      <c r="IR391" s="1"/>
      <c r="IS391" s="1"/>
      <c r="IT391" s="1"/>
      <c r="IU391" s="1"/>
    </row>
    <row r="392" spans="14:255" s="30" customFormat="1" ht="12.95" customHeight="1" x14ac:dyDescent="0.2">
      <c r="N392" s="31"/>
      <c r="IB392" s="1"/>
      <c r="IC392" s="1"/>
      <c r="ID392" s="1"/>
      <c r="IE392" s="1"/>
      <c r="IF392" s="1"/>
      <c r="IG392" s="1"/>
      <c r="IH392" s="1"/>
      <c r="II392" s="1"/>
      <c r="IJ392" s="1"/>
      <c r="IK392" s="1"/>
      <c r="IL392" s="1"/>
      <c r="IM392" s="1"/>
      <c r="IN392" s="1"/>
      <c r="IO392" s="1"/>
      <c r="IP392" s="1"/>
      <c r="IQ392" s="1"/>
      <c r="IR392" s="1"/>
      <c r="IS392" s="1"/>
      <c r="IT392" s="1"/>
      <c r="IU392" s="1"/>
    </row>
    <row r="393" spans="14:255" s="30" customFormat="1" ht="12.95" customHeight="1" x14ac:dyDescent="0.2">
      <c r="N393" s="31"/>
      <c r="IB393" s="1"/>
      <c r="IC393" s="1"/>
      <c r="ID393" s="1"/>
      <c r="IE393" s="1"/>
      <c r="IF393" s="1"/>
      <c r="IG393" s="1"/>
      <c r="IH393" s="1"/>
      <c r="II393" s="1"/>
      <c r="IJ393" s="1"/>
      <c r="IK393" s="1"/>
      <c r="IL393" s="1"/>
      <c r="IM393" s="1"/>
      <c r="IN393" s="1"/>
      <c r="IO393" s="1"/>
      <c r="IP393" s="1"/>
      <c r="IQ393" s="1"/>
      <c r="IR393" s="1"/>
      <c r="IS393" s="1"/>
      <c r="IT393" s="1"/>
      <c r="IU393" s="1"/>
    </row>
    <row r="394" spans="14:255" s="30" customFormat="1" ht="12.95" customHeight="1" x14ac:dyDescent="0.2">
      <c r="N394" s="31"/>
      <c r="IB394" s="1"/>
      <c r="IC394" s="1"/>
      <c r="ID394" s="1"/>
      <c r="IE394" s="1"/>
      <c r="IF394" s="1"/>
      <c r="IG394" s="1"/>
      <c r="IH394" s="1"/>
      <c r="II394" s="1"/>
      <c r="IJ394" s="1"/>
      <c r="IK394" s="1"/>
      <c r="IL394" s="1"/>
      <c r="IM394" s="1"/>
      <c r="IN394" s="1"/>
      <c r="IO394" s="1"/>
      <c r="IP394" s="1"/>
      <c r="IQ394" s="1"/>
      <c r="IR394" s="1"/>
      <c r="IS394" s="1"/>
      <c r="IT394" s="1"/>
      <c r="IU394" s="1"/>
    </row>
    <row r="395" spans="14:255" s="30" customFormat="1" ht="12.95" customHeight="1" x14ac:dyDescent="0.2">
      <c r="N395" s="31"/>
      <c r="IB395" s="1"/>
      <c r="IC395" s="1"/>
      <c r="ID395" s="1"/>
      <c r="IE395" s="1"/>
      <c r="IF395" s="1"/>
      <c r="IG395" s="1"/>
      <c r="IH395" s="1"/>
      <c r="II395" s="1"/>
      <c r="IJ395" s="1"/>
      <c r="IK395" s="1"/>
      <c r="IL395" s="1"/>
      <c r="IM395" s="1"/>
      <c r="IN395" s="1"/>
      <c r="IO395" s="1"/>
      <c r="IP395" s="1"/>
      <c r="IQ395" s="1"/>
      <c r="IR395" s="1"/>
      <c r="IS395" s="1"/>
      <c r="IT395" s="1"/>
      <c r="IU395" s="1"/>
    </row>
    <row r="396" spans="14:255" s="30" customFormat="1" ht="12.95" customHeight="1" x14ac:dyDescent="0.2">
      <c r="N396" s="31"/>
      <c r="IB396" s="1"/>
      <c r="IC396" s="1"/>
      <c r="ID396" s="1"/>
      <c r="IE396" s="1"/>
      <c r="IF396" s="1"/>
      <c r="IG396" s="1"/>
      <c r="IH396" s="1"/>
      <c r="II396" s="1"/>
      <c r="IJ396" s="1"/>
      <c r="IK396" s="1"/>
      <c r="IL396" s="1"/>
      <c r="IM396" s="1"/>
      <c r="IN396" s="1"/>
      <c r="IO396" s="1"/>
      <c r="IP396" s="1"/>
      <c r="IQ396" s="1"/>
      <c r="IR396" s="1"/>
      <c r="IS396" s="1"/>
      <c r="IT396" s="1"/>
      <c r="IU396" s="1"/>
    </row>
    <row r="397" spans="14:255" s="30" customFormat="1" ht="12.95" customHeight="1" x14ac:dyDescent="0.2">
      <c r="N397" s="31"/>
      <c r="IB397" s="1"/>
      <c r="IC397" s="1"/>
      <c r="ID397" s="1"/>
      <c r="IE397" s="1"/>
      <c r="IF397" s="1"/>
      <c r="IG397" s="1"/>
      <c r="IH397" s="1"/>
      <c r="II397" s="1"/>
      <c r="IJ397" s="1"/>
      <c r="IK397" s="1"/>
      <c r="IL397" s="1"/>
      <c r="IM397" s="1"/>
      <c r="IN397" s="1"/>
      <c r="IO397" s="1"/>
      <c r="IP397" s="1"/>
      <c r="IQ397" s="1"/>
      <c r="IR397" s="1"/>
      <c r="IS397" s="1"/>
      <c r="IT397" s="1"/>
      <c r="IU397" s="1"/>
    </row>
    <row r="398" spans="14:255" s="30" customFormat="1" ht="12.95" customHeight="1" x14ac:dyDescent="0.2">
      <c r="N398" s="31"/>
      <c r="IB398" s="1"/>
      <c r="IC398" s="1"/>
      <c r="ID398" s="1"/>
      <c r="IE398" s="1"/>
      <c r="IF398" s="1"/>
      <c r="IG398" s="1"/>
      <c r="IH398" s="1"/>
      <c r="II398" s="1"/>
      <c r="IJ398" s="1"/>
      <c r="IK398" s="1"/>
      <c r="IL398" s="1"/>
      <c r="IM398" s="1"/>
      <c r="IN398" s="1"/>
      <c r="IO398" s="1"/>
      <c r="IP398" s="1"/>
      <c r="IQ398" s="1"/>
      <c r="IR398" s="1"/>
      <c r="IS398" s="1"/>
      <c r="IT398" s="1"/>
      <c r="IU398" s="1"/>
    </row>
    <row r="399" spans="14:255" s="30" customFormat="1" ht="12.95" customHeight="1" x14ac:dyDescent="0.2">
      <c r="N399" s="31"/>
      <c r="IB399" s="1"/>
      <c r="IC399" s="1"/>
      <c r="ID399" s="1"/>
      <c r="IE399" s="1"/>
      <c r="IF399" s="1"/>
      <c r="IG399" s="1"/>
      <c r="IH399" s="1"/>
      <c r="II399" s="1"/>
      <c r="IJ399" s="1"/>
      <c r="IK399" s="1"/>
      <c r="IL399" s="1"/>
      <c r="IM399" s="1"/>
      <c r="IN399" s="1"/>
      <c r="IO399" s="1"/>
      <c r="IP399" s="1"/>
      <c r="IQ399" s="1"/>
      <c r="IR399" s="1"/>
      <c r="IS399" s="1"/>
      <c r="IT399" s="1"/>
      <c r="IU399" s="1"/>
    </row>
    <row r="400" spans="14:255" s="30" customFormat="1" ht="12.95" customHeight="1" x14ac:dyDescent="0.2">
      <c r="N400" s="31"/>
      <c r="IB400" s="1"/>
      <c r="IC400" s="1"/>
      <c r="ID400" s="1"/>
      <c r="IE400" s="1"/>
      <c r="IF400" s="1"/>
      <c r="IG400" s="1"/>
      <c r="IH400" s="1"/>
      <c r="II400" s="1"/>
      <c r="IJ400" s="1"/>
      <c r="IK400" s="1"/>
      <c r="IL400" s="1"/>
      <c r="IM400" s="1"/>
      <c r="IN400" s="1"/>
      <c r="IO400" s="1"/>
      <c r="IP400" s="1"/>
      <c r="IQ400" s="1"/>
      <c r="IR400" s="1"/>
      <c r="IS400" s="1"/>
      <c r="IT400" s="1"/>
      <c r="IU400" s="1"/>
    </row>
    <row r="401" spans="14:255" s="30" customFormat="1" ht="12.95" customHeight="1" x14ac:dyDescent="0.2">
      <c r="N401" s="31"/>
      <c r="IB401" s="1"/>
      <c r="IC401" s="1"/>
      <c r="ID401" s="1"/>
      <c r="IE401" s="1"/>
      <c r="IF401" s="1"/>
      <c r="IG401" s="1"/>
      <c r="IH401" s="1"/>
      <c r="II401" s="1"/>
      <c r="IJ401" s="1"/>
      <c r="IK401" s="1"/>
      <c r="IL401" s="1"/>
      <c r="IM401" s="1"/>
      <c r="IN401" s="1"/>
      <c r="IO401" s="1"/>
      <c r="IP401" s="1"/>
      <c r="IQ401" s="1"/>
      <c r="IR401" s="1"/>
      <c r="IS401" s="1"/>
      <c r="IT401" s="1"/>
      <c r="IU401" s="1"/>
    </row>
    <row r="402" spans="14:255" s="30" customFormat="1" ht="12.95" customHeight="1" x14ac:dyDescent="0.2">
      <c r="N402" s="31"/>
      <c r="IB402" s="1"/>
      <c r="IC402" s="1"/>
      <c r="ID402" s="1"/>
      <c r="IE402" s="1"/>
      <c r="IF402" s="1"/>
      <c r="IG402" s="1"/>
      <c r="IH402" s="1"/>
      <c r="II402" s="1"/>
      <c r="IJ402" s="1"/>
      <c r="IK402" s="1"/>
      <c r="IL402" s="1"/>
      <c r="IM402" s="1"/>
      <c r="IN402" s="1"/>
      <c r="IO402" s="1"/>
      <c r="IP402" s="1"/>
      <c r="IQ402" s="1"/>
      <c r="IR402" s="1"/>
      <c r="IS402" s="1"/>
      <c r="IT402" s="1"/>
      <c r="IU402" s="1"/>
    </row>
    <row r="403" spans="14:255" s="30" customFormat="1" ht="12.95" customHeight="1" x14ac:dyDescent="0.2">
      <c r="N403" s="31"/>
      <c r="IB403" s="1"/>
      <c r="IC403" s="1"/>
      <c r="ID403" s="1"/>
      <c r="IE403" s="1"/>
      <c r="IF403" s="1"/>
      <c r="IG403" s="1"/>
      <c r="IH403" s="1"/>
      <c r="II403" s="1"/>
      <c r="IJ403" s="1"/>
      <c r="IK403" s="1"/>
      <c r="IL403" s="1"/>
      <c r="IM403" s="1"/>
      <c r="IN403" s="1"/>
      <c r="IO403" s="1"/>
      <c r="IP403" s="1"/>
      <c r="IQ403" s="1"/>
      <c r="IR403" s="1"/>
      <c r="IS403" s="1"/>
      <c r="IT403" s="1"/>
      <c r="IU403" s="1"/>
    </row>
    <row r="404" spans="14:255" s="30" customFormat="1" ht="12.95" customHeight="1" x14ac:dyDescent="0.2">
      <c r="N404" s="31"/>
      <c r="IB404" s="1"/>
      <c r="IC404" s="1"/>
      <c r="ID404" s="1"/>
      <c r="IE404" s="1"/>
      <c r="IF404" s="1"/>
      <c r="IG404" s="1"/>
      <c r="IH404" s="1"/>
      <c r="II404" s="1"/>
      <c r="IJ404" s="1"/>
      <c r="IK404" s="1"/>
      <c r="IL404" s="1"/>
      <c r="IM404" s="1"/>
      <c r="IN404" s="1"/>
      <c r="IO404" s="1"/>
      <c r="IP404" s="1"/>
      <c r="IQ404" s="1"/>
      <c r="IR404" s="1"/>
      <c r="IS404" s="1"/>
      <c r="IT404" s="1"/>
      <c r="IU404" s="1"/>
    </row>
    <row r="405" spans="14:255" s="30" customFormat="1" ht="12.95" customHeight="1" x14ac:dyDescent="0.2">
      <c r="N405" s="31"/>
      <c r="IB405" s="1"/>
      <c r="IC405" s="1"/>
      <c r="ID405" s="1"/>
      <c r="IE405" s="1"/>
      <c r="IF405" s="1"/>
      <c r="IG405" s="1"/>
      <c r="IH405" s="1"/>
      <c r="II405" s="1"/>
      <c r="IJ405" s="1"/>
      <c r="IK405" s="1"/>
      <c r="IL405" s="1"/>
      <c r="IM405" s="1"/>
      <c r="IN405" s="1"/>
      <c r="IO405" s="1"/>
      <c r="IP405" s="1"/>
      <c r="IQ405" s="1"/>
      <c r="IR405" s="1"/>
      <c r="IS405" s="1"/>
      <c r="IT405" s="1"/>
      <c r="IU405" s="1"/>
    </row>
    <row r="406" spans="14:255" s="30" customFormat="1" ht="12.95" customHeight="1" x14ac:dyDescent="0.2">
      <c r="N406" s="31"/>
      <c r="IB406" s="1"/>
      <c r="IC406" s="1"/>
      <c r="ID406" s="1"/>
      <c r="IE406" s="1"/>
      <c r="IF406" s="1"/>
      <c r="IG406" s="1"/>
      <c r="IH406" s="1"/>
      <c r="II406" s="1"/>
      <c r="IJ406" s="1"/>
      <c r="IK406" s="1"/>
      <c r="IL406" s="1"/>
      <c r="IM406" s="1"/>
      <c r="IN406" s="1"/>
      <c r="IO406" s="1"/>
      <c r="IP406" s="1"/>
      <c r="IQ406" s="1"/>
      <c r="IR406" s="1"/>
      <c r="IS406" s="1"/>
      <c r="IT406" s="1"/>
      <c r="IU406" s="1"/>
    </row>
    <row r="407" spans="14:255" s="30" customFormat="1" ht="12.95" customHeight="1" x14ac:dyDescent="0.2">
      <c r="N407" s="31"/>
      <c r="IB407" s="1"/>
      <c r="IC407" s="1"/>
      <c r="ID407" s="1"/>
      <c r="IE407" s="1"/>
      <c r="IF407" s="1"/>
      <c r="IG407" s="1"/>
      <c r="IH407" s="1"/>
      <c r="II407" s="1"/>
      <c r="IJ407" s="1"/>
      <c r="IK407" s="1"/>
      <c r="IL407" s="1"/>
      <c r="IM407" s="1"/>
      <c r="IN407" s="1"/>
      <c r="IO407" s="1"/>
      <c r="IP407" s="1"/>
      <c r="IQ407" s="1"/>
      <c r="IR407" s="1"/>
      <c r="IS407" s="1"/>
      <c r="IT407" s="1"/>
      <c r="IU407" s="1"/>
    </row>
    <row r="408" spans="14:255" s="30" customFormat="1" ht="12.95" customHeight="1" x14ac:dyDescent="0.2">
      <c r="N408" s="31"/>
      <c r="IB408" s="1"/>
      <c r="IC408" s="1"/>
      <c r="ID408" s="1"/>
      <c r="IE408" s="1"/>
      <c r="IF408" s="1"/>
      <c r="IG408" s="1"/>
      <c r="IH408" s="1"/>
      <c r="II408" s="1"/>
      <c r="IJ408" s="1"/>
      <c r="IK408" s="1"/>
      <c r="IL408" s="1"/>
      <c r="IM408" s="1"/>
      <c r="IN408" s="1"/>
      <c r="IO408" s="1"/>
      <c r="IP408" s="1"/>
      <c r="IQ408" s="1"/>
      <c r="IR408" s="1"/>
      <c r="IS408" s="1"/>
      <c r="IT408" s="1"/>
      <c r="IU408" s="1"/>
    </row>
    <row r="409" spans="14:255" s="30" customFormat="1" ht="12.95" customHeight="1" x14ac:dyDescent="0.2">
      <c r="N409" s="31"/>
      <c r="IB409" s="1"/>
      <c r="IC409" s="1"/>
      <c r="ID409" s="1"/>
      <c r="IE409" s="1"/>
      <c r="IF409" s="1"/>
      <c r="IG409" s="1"/>
      <c r="IH409" s="1"/>
      <c r="II409" s="1"/>
      <c r="IJ409" s="1"/>
      <c r="IK409" s="1"/>
      <c r="IL409" s="1"/>
      <c r="IM409" s="1"/>
      <c r="IN409" s="1"/>
      <c r="IO409" s="1"/>
      <c r="IP409" s="1"/>
      <c r="IQ409" s="1"/>
      <c r="IR409" s="1"/>
      <c r="IS409" s="1"/>
      <c r="IT409" s="1"/>
      <c r="IU409" s="1"/>
    </row>
    <row r="410" spans="14:255" s="30" customFormat="1" ht="12.95" customHeight="1" x14ac:dyDescent="0.2">
      <c r="N410" s="31"/>
      <c r="IB410" s="1"/>
      <c r="IC410" s="1"/>
      <c r="ID410" s="1"/>
      <c r="IE410" s="1"/>
      <c r="IF410" s="1"/>
      <c r="IG410" s="1"/>
      <c r="IH410" s="1"/>
      <c r="II410" s="1"/>
      <c r="IJ410" s="1"/>
      <c r="IK410" s="1"/>
      <c r="IL410" s="1"/>
      <c r="IM410" s="1"/>
      <c r="IN410" s="1"/>
      <c r="IO410" s="1"/>
      <c r="IP410" s="1"/>
      <c r="IQ410" s="1"/>
      <c r="IR410" s="1"/>
      <c r="IS410" s="1"/>
      <c r="IT410" s="1"/>
      <c r="IU410" s="1"/>
    </row>
    <row r="411" spans="14:255" s="30" customFormat="1" ht="12.95" customHeight="1" x14ac:dyDescent="0.2">
      <c r="N411" s="31"/>
      <c r="IB411" s="1"/>
      <c r="IC411" s="1"/>
      <c r="ID411" s="1"/>
      <c r="IE411" s="1"/>
      <c r="IF411" s="1"/>
      <c r="IG411" s="1"/>
      <c r="IH411" s="1"/>
      <c r="II411" s="1"/>
      <c r="IJ411" s="1"/>
      <c r="IK411" s="1"/>
      <c r="IL411" s="1"/>
      <c r="IM411" s="1"/>
      <c r="IN411" s="1"/>
      <c r="IO411" s="1"/>
      <c r="IP411" s="1"/>
      <c r="IQ411" s="1"/>
      <c r="IR411" s="1"/>
      <c r="IS411" s="1"/>
      <c r="IT411" s="1"/>
      <c r="IU411" s="1"/>
    </row>
    <row r="412" spans="14:255" s="30" customFormat="1" ht="12.95" customHeight="1" x14ac:dyDescent="0.2">
      <c r="N412" s="31"/>
      <c r="IB412" s="1"/>
      <c r="IC412" s="1"/>
      <c r="ID412" s="1"/>
      <c r="IE412" s="1"/>
      <c r="IF412" s="1"/>
      <c r="IG412" s="1"/>
      <c r="IH412" s="1"/>
      <c r="II412" s="1"/>
      <c r="IJ412" s="1"/>
      <c r="IK412" s="1"/>
      <c r="IL412" s="1"/>
      <c r="IM412" s="1"/>
      <c r="IN412" s="1"/>
      <c r="IO412" s="1"/>
      <c r="IP412" s="1"/>
      <c r="IQ412" s="1"/>
      <c r="IR412" s="1"/>
      <c r="IS412" s="1"/>
      <c r="IT412" s="1"/>
      <c r="IU412" s="1"/>
    </row>
    <row r="413" spans="14:255" s="30" customFormat="1" ht="12.95" customHeight="1" x14ac:dyDescent="0.2">
      <c r="N413" s="31"/>
      <c r="IB413" s="1"/>
      <c r="IC413" s="1"/>
      <c r="ID413" s="1"/>
      <c r="IE413" s="1"/>
      <c r="IF413" s="1"/>
      <c r="IG413" s="1"/>
      <c r="IH413" s="1"/>
      <c r="II413" s="1"/>
      <c r="IJ413" s="1"/>
      <c r="IK413" s="1"/>
      <c r="IL413" s="1"/>
      <c r="IM413" s="1"/>
      <c r="IN413" s="1"/>
      <c r="IO413" s="1"/>
      <c r="IP413" s="1"/>
      <c r="IQ413" s="1"/>
      <c r="IR413" s="1"/>
      <c r="IS413" s="1"/>
      <c r="IT413" s="1"/>
      <c r="IU413" s="1"/>
    </row>
    <row r="414" spans="14:255" s="30" customFormat="1" ht="12.95" customHeight="1" x14ac:dyDescent="0.2">
      <c r="N414" s="31"/>
      <c r="IB414" s="1"/>
      <c r="IC414" s="1"/>
      <c r="ID414" s="1"/>
      <c r="IE414" s="1"/>
      <c r="IF414" s="1"/>
      <c r="IG414" s="1"/>
      <c r="IH414" s="1"/>
      <c r="II414" s="1"/>
      <c r="IJ414" s="1"/>
      <c r="IK414" s="1"/>
      <c r="IL414" s="1"/>
      <c r="IM414" s="1"/>
      <c r="IN414" s="1"/>
      <c r="IO414" s="1"/>
      <c r="IP414" s="1"/>
      <c r="IQ414" s="1"/>
      <c r="IR414" s="1"/>
      <c r="IS414" s="1"/>
      <c r="IT414" s="1"/>
      <c r="IU414" s="1"/>
    </row>
    <row r="415" spans="14:255" s="30" customFormat="1" ht="12.95" customHeight="1" x14ac:dyDescent="0.2">
      <c r="N415" s="31"/>
      <c r="IB415" s="1"/>
      <c r="IC415" s="1"/>
      <c r="ID415" s="1"/>
      <c r="IE415" s="1"/>
      <c r="IF415" s="1"/>
      <c r="IG415" s="1"/>
      <c r="IH415" s="1"/>
      <c r="II415" s="1"/>
      <c r="IJ415" s="1"/>
      <c r="IK415" s="1"/>
      <c r="IL415" s="1"/>
      <c r="IM415" s="1"/>
      <c r="IN415" s="1"/>
      <c r="IO415" s="1"/>
      <c r="IP415" s="1"/>
      <c r="IQ415" s="1"/>
      <c r="IR415" s="1"/>
      <c r="IS415" s="1"/>
      <c r="IT415" s="1"/>
      <c r="IU415" s="1"/>
    </row>
    <row r="416" spans="14:255" s="30" customFormat="1" ht="12.95" customHeight="1" x14ac:dyDescent="0.2">
      <c r="N416" s="31"/>
      <c r="IB416" s="1"/>
      <c r="IC416" s="1"/>
      <c r="ID416" s="1"/>
      <c r="IE416" s="1"/>
      <c r="IF416" s="1"/>
      <c r="IG416" s="1"/>
      <c r="IH416" s="1"/>
      <c r="II416" s="1"/>
      <c r="IJ416" s="1"/>
      <c r="IK416" s="1"/>
      <c r="IL416" s="1"/>
      <c r="IM416" s="1"/>
      <c r="IN416" s="1"/>
      <c r="IO416" s="1"/>
      <c r="IP416" s="1"/>
      <c r="IQ416" s="1"/>
      <c r="IR416" s="1"/>
      <c r="IS416" s="1"/>
      <c r="IT416" s="1"/>
      <c r="IU416" s="1"/>
    </row>
    <row r="417" spans="14:255" s="30" customFormat="1" ht="12.95" customHeight="1" x14ac:dyDescent="0.2">
      <c r="N417" s="31"/>
      <c r="IB417" s="1"/>
      <c r="IC417" s="1"/>
      <c r="ID417" s="1"/>
      <c r="IE417" s="1"/>
      <c r="IF417" s="1"/>
      <c r="IG417" s="1"/>
      <c r="IH417" s="1"/>
      <c r="II417" s="1"/>
      <c r="IJ417" s="1"/>
      <c r="IK417" s="1"/>
      <c r="IL417" s="1"/>
      <c r="IM417" s="1"/>
      <c r="IN417" s="1"/>
      <c r="IO417" s="1"/>
      <c r="IP417" s="1"/>
      <c r="IQ417" s="1"/>
      <c r="IR417" s="1"/>
      <c r="IS417" s="1"/>
      <c r="IT417" s="1"/>
      <c r="IU417" s="1"/>
    </row>
    <row r="418" spans="14:255" s="30" customFormat="1" ht="12.95" customHeight="1" x14ac:dyDescent="0.2">
      <c r="N418" s="31"/>
      <c r="IB418" s="1"/>
      <c r="IC418" s="1"/>
      <c r="ID418" s="1"/>
      <c r="IE418" s="1"/>
      <c r="IF418" s="1"/>
      <c r="IG418" s="1"/>
      <c r="IH418" s="1"/>
      <c r="II418" s="1"/>
      <c r="IJ418" s="1"/>
      <c r="IK418" s="1"/>
      <c r="IL418" s="1"/>
      <c r="IM418" s="1"/>
      <c r="IN418" s="1"/>
      <c r="IO418" s="1"/>
      <c r="IP418" s="1"/>
      <c r="IQ418" s="1"/>
      <c r="IR418" s="1"/>
      <c r="IS418" s="1"/>
      <c r="IT418" s="1"/>
      <c r="IU418" s="1"/>
    </row>
    <row r="419" spans="14:255" s="30" customFormat="1" ht="12.95" customHeight="1" x14ac:dyDescent="0.2">
      <c r="N419" s="31"/>
      <c r="IB419" s="1"/>
      <c r="IC419" s="1"/>
      <c r="ID419" s="1"/>
      <c r="IE419" s="1"/>
      <c r="IF419" s="1"/>
      <c r="IG419" s="1"/>
      <c r="IH419" s="1"/>
      <c r="II419" s="1"/>
      <c r="IJ419" s="1"/>
      <c r="IK419" s="1"/>
      <c r="IL419" s="1"/>
      <c r="IM419" s="1"/>
      <c r="IN419" s="1"/>
      <c r="IO419" s="1"/>
      <c r="IP419" s="1"/>
      <c r="IQ419" s="1"/>
      <c r="IR419" s="1"/>
      <c r="IS419" s="1"/>
      <c r="IT419" s="1"/>
      <c r="IU419" s="1"/>
    </row>
    <row r="420" spans="14:255" s="30" customFormat="1" ht="12.95" customHeight="1" x14ac:dyDescent="0.2">
      <c r="N420" s="31"/>
      <c r="IB420" s="1"/>
      <c r="IC420" s="1"/>
      <c r="ID420" s="1"/>
      <c r="IE420" s="1"/>
      <c r="IF420" s="1"/>
      <c r="IG420" s="1"/>
      <c r="IH420" s="1"/>
      <c r="II420" s="1"/>
      <c r="IJ420" s="1"/>
      <c r="IK420" s="1"/>
      <c r="IL420" s="1"/>
      <c r="IM420" s="1"/>
      <c r="IN420" s="1"/>
      <c r="IO420" s="1"/>
      <c r="IP420" s="1"/>
      <c r="IQ420" s="1"/>
      <c r="IR420" s="1"/>
      <c r="IS420" s="1"/>
      <c r="IT420" s="1"/>
      <c r="IU420" s="1"/>
    </row>
    <row r="421" spans="14:255" s="30" customFormat="1" ht="12.95" customHeight="1" x14ac:dyDescent="0.2">
      <c r="N421" s="31"/>
      <c r="IB421" s="1"/>
      <c r="IC421" s="1"/>
      <c r="ID421" s="1"/>
      <c r="IE421" s="1"/>
      <c r="IF421" s="1"/>
      <c r="IG421" s="1"/>
      <c r="IH421" s="1"/>
      <c r="II421" s="1"/>
      <c r="IJ421" s="1"/>
      <c r="IK421" s="1"/>
      <c r="IL421" s="1"/>
      <c r="IM421" s="1"/>
      <c r="IN421" s="1"/>
      <c r="IO421" s="1"/>
      <c r="IP421" s="1"/>
      <c r="IQ421" s="1"/>
      <c r="IR421" s="1"/>
      <c r="IS421" s="1"/>
      <c r="IT421" s="1"/>
      <c r="IU421" s="1"/>
    </row>
    <row r="422" spans="14:255" s="30" customFormat="1" ht="12.95" customHeight="1" x14ac:dyDescent="0.2">
      <c r="N422" s="31"/>
      <c r="IB422" s="1"/>
      <c r="IC422" s="1"/>
      <c r="ID422" s="1"/>
      <c r="IE422" s="1"/>
      <c r="IF422" s="1"/>
      <c r="IG422" s="1"/>
      <c r="IH422" s="1"/>
      <c r="II422" s="1"/>
      <c r="IJ422" s="1"/>
      <c r="IK422" s="1"/>
      <c r="IL422" s="1"/>
      <c r="IM422" s="1"/>
      <c r="IN422" s="1"/>
      <c r="IO422" s="1"/>
      <c r="IP422" s="1"/>
      <c r="IQ422" s="1"/>
      <c r="IR422" s="1"/>
      <c r="IS422" s="1"/>
      <c r="IT422" s="1"/>
      <c r="IU422" s="1"/>
    </row>
    <row r="423" spans="14:255" s="30" customFormat="1" ht="12.95" customHeight="1" x14ac:dyDescent="0.2">
      <c r="N423" s="31"/>
      <c r="IB423" s="1"/>
      <c r="IC423" s="1"/>
      <c r="ID423" s="1"/>
      <c r="IE423" s="1"/>
      <c r="IF423" s="1"/>
      <c r="IG423" s="1"/>
      <c r="IH423" s="1"/>
      <c r="II423" s="1"/>
      <c r="IJ423" s="1"/>
      <c r="IK423" s="1"/>
      <c r="IL423" s="1"/>
      <c r="IM423" s="1"/>
      <c r="IN423" s="1"/>
      <c r="IO423" s="1"/>
      <c r="IP423" s="1"/>
      <c r="IQ423" s="1"/>
      <c r="IR423" s="1"/>
      <c r="IS423" s="1"/>
      <c r="IT423" s="1"/>
      <c r="IU423" s="1"/>
    </row>
    <row r="424" spans="14:255" s="30" customFormat="1" ht="12.95" customHeight="1" x14ac:dyDescent="0.2">
      <c r="N424" s="31"/>
      <c r="IB424" s="1"/>
      <c r="IC424" s="1"/>
      <c r="ID424" s="1"/>
      <c r="IE424" s="1"/>
      <c r="IF424" s="1"/>
      <c r="IG424" s="1"/>
      <c r="IH424" s="1"/>
      <c r="II424" s="1"/>
      <c r="IJ424" s="1"/>
      <c r="IK424" s="1"/>
      <c r="IL424" s="1"/>
      <c r="IM424" s="1"/>
      <c r="IN424" s="1"/>
      <c r="IO424" s="1"/>
      <c r="IP424" s="1"/>
      <c r="IQ424" s="1"/>
      <c r="IR424" s="1"/>
      <c r="IS424" s="1"/>
      <c r="IT424" s="1"/>
      <c r="IU424" s="1"/>
    </row>
    <row r="425" spans="14:255" s="30" customFormat="1" ht="12.95" customHeight="1" x14ac:dyDescent="0.2">
      <c r="N425" s="31"/>
      <c r="IB425" s="1"/>
      <c r="IC425" s="1"/>
      <c r="ID425" s="1"/>
      <c r="IE425" s="1"/>
      <c r="IF425" s="1"/>
      <c r="IG425" s="1"/>
      <c r="IH425" s="1"/>
      <c r="II425" s="1"/>
      <c r="IJ425" s="1"/>
      <c r="IK425" s="1"/>
      <c r="IL425" s="1"/>
      <c r="IM425" s="1"/>
      <c r="IN425" s="1"/>
      <c r="IO425" s="1"/>
      <c r="IP425" s="1"/>
      <c r="IQ425" s="1"/>
      <c r="IR425" s="1"/>
      <c r="IS425" s="1"/>
      <c r="IT425" s="1"/>
      <c r="IU425" s="1"/>
    </row>
    <row r="426" spans="14:255" s="30" customFormat="1" ht="12.95" customHeight="1" x14ac:dyDescent="0.2">
      <c r="N426" s="31"/>
      <c r="IB426" s="1"/>
      <c r="IC426" s="1"/>
      <c r="ID426" s="1"/>
      <c r="IE426" s="1"/>
      <c r="IF426" s="1"/>
      <c r="IG426" s="1"/>
      <c r="IH426" s="1"/>
      <c r="II426" s="1"/>
      <c r="IJ426" s="1"/>
      <c r="IK426" s="1"/>
      <c r="IL426" s="1"/>
      <c r="IM426" s="1"/>
      <c r="IN426" s="1"/>
      <c r="IO426" s="1"/>
      <c r="IP426" s="1"/>
      <c r="IQ426" s="1"/>
      <c r="IR426" s="1"/>
      <c r="IS426" s="1"/>
      <c r="IT426" s="1"/>
      <c r="IU426" s="1"/>
    </row>
    <row r="427" spans="14:255" s="30" customFormat="1" ht="12.95" customHeight="1" x14ac:dyDescent="0.2">
      <c r="N427" s="31"/>
      <c r="IB427" s="1"/>
      <c r="IC427" s="1"/>
      <c r="ID427" s="1"/>
      <c r="IE427" s="1"/>
      <c r="IF427" s="1"/>
      <c r="IG427" s="1"/>
      <c r="IH427" s="1"/>
      <c r="II427" s="1"/>
      <c r="IJ427" s="1"/>
      <c r="IK427" s="1"/>
      <c r="IL427" s="1"/>
      <c r="IM427" s="1"/>
      <c r="IN427" s="1"/>
      <c r="IO427" s="1"/>
      <c r="IP427" s="1"/>
      <c r="IQ427" s="1"/>
      <c r="IR427" s="1"/>
      <c r="IS427" s="1"/>
      <c r="IT427" s="1"/>
      <c r="IU427" s="1"/>
    </row>
    <row r="428" spans="14:255" s="30" customFormat="1" ht="12.95" customHeight="1" x14ac:dyDescent="0.2">
      <c r="N428" s="31"/>
      <c r="IB428" s="1"/>
      <c r="IC428" s="1"/>
      <c r="ID428" s="1"/>
      <c r="IE428" s="1"/>
      <c r="IF428" s="1"/>
      <c r="IG428" s="1"/>
      <c r="IH428" s="1"/>
      <c r="II428" s="1"/>
      <c r="IJ428" s="1"/>
      <c r="IK428" s="1"/>
      <c r="IL428" s="1"/>
      <c r="IM428" s="1"/>
      <c r="IN428" s="1"/>
      <c r="IO428" s="1"/>
      <c r="IP428" s="1"/>
      <c r="IQ428" s="1"/>
      <c r="IR428" s="1"/>
      <c r="IS428" s="1"/>
      <c r="IT428" s="1"/>
      <c r="IU428" s="1"/>
    </row>
    <row r="429" spans="14:255" s="30" customFormat="1" ht="12.95" customHeight="1" x14ac:dyDescent="0.2">
      <c r="N429" s="31"/>
      <c r="IB429" s="1"/>
      <c r="IC429" s="1"/>
      <c r="ID429" s="1"/>
      <c r="IE429" s="1"/>
      <c r="IF429" s="1"/>
      <c r="IG429" s="1"/>
      <c r="IH429" s="1"/>
      <c r="II429" s="1"/>
      <c r="IJ429" s="1"/>
      <c r="IK429" s="1"/>
      <c r="IL429" s="1"/>
      <c r="IM429" s="1"/>
      <c r="IN429" s="1"/>
      <c r="IO429" s="1"/>
      <c r="IP429" s="1"/>
      <c r="IQ429" s="1"/>
      <c r="IR429" s="1"/>
      <c r="IS429" s="1"/>
      <c r="IT429" s="1"/>
      <c r="IU429" s="1"/>
    </row>
    <row r="430" spans="14:255" s="30" customFormat="1" ht="12.95" customHeight="1" x14ac:dyDescent="0.2">
      <c r="N430" s="31"/>
      <c r="IB430" s="1"/>
      <c r="IC430" s="1"/>
      <c r="ID430" s="1"/>
      <c r="IE430" s="1"/>
      <c r="IF430" s="1"/>
      <c r="IG430" s="1"/>
      <c r="IH430" s="1"/>
      <c r="II430" s="1"/>
      <c r="IJ430" s="1"/>
      <c r="IK430" s="1"/>
      <c r="IL430" s="1"/>
      <c r="IM430" s="1"/>
      <c r="IN430" s="1"/>
      <c r="IO430" s="1"/>
      <c r="IP430" s="1"/>
      <c r="IQ430" s="1"/>
      <c r="IR430" s="1"/>
      <c r="IS430" s="1"/>
      <c r="IT430" s="1"/>
      <c r="IU430" s="1"/>
    </row>
    <row r="431" spans="14:255" s="30" customFormat="1" ht="12.95" customHeight="1" x14ac:dyDescent="0.2">
      <c r="N431" s="31"/>
      <c r="IB431" s="1"/>
      <c r="IC431" s="1"/>
      <c r="ID431" s="1"/>
      <c r="IE431" s="1"/>
      <c r="IF431" s="1"/>
      <c r="IG431" s="1"/>
      <c r="IH431" s="1"/>
      <c r="II431" s="1"/>
      <c r="IJ431" s="1"/>
      <c r="IK431" s="1"/>
      <c r="IL431" s="1"/>
      <c r="IM431" s="1"/>
      <c r="IN431" s="1"/>
      <c r="IO431" s="1"/>
      <c r="IP431" s="1"/>
      <c r="IQ431" s="1"/>
      <c r="IR431" s="1"/>
      <c r="IS431" s="1"/>
      <c r="IT431" s="1"/>
      <c r="IU431" s="1"/>
    </row>
    <row r="432" spans="14:255" s="30" customFormat="1" ht="12.95" customHeight="1" x14ac:dyDescent="0.2">
      <c r="N432" s="31"/>
      <c r="IB432" s="1"/>
      <c r="IC432" s="1"/>
      <c r="ID432" s="1"/>
      <c r="IE432" s="1"/>
      <c r="IF432" s="1"/>
      <c r="IG432" s="1"/>
      <c r="IH432" s="1"/>
      <c r="II432" s="1"/>
      <c r="IJ432" s="1"/>
      <c r="IK432" s="1"/>
      <c r="IL432" s="1"/>
      <c r="IM432" s="1"/>
      <c r="IN432" s="1"/>
      <c r="IO432" s="1"/>
      <c r="IP432" s="1"/>
      <c r="IQ432" s="1"/>
      <c r="IR432" s="1"/>
      <c r="IS432" s="1"/>
      <c r="IT432" s="1"/>
      <c r="IU432" s="1"/>
    </row>
    <row r="433" spans="14:255" s="30" customFormat="1" ht="12.95" customHeight="1" x14ac:dyDescent="0.2">
      <c r="N433" s="31"/>
      <c r="IB433" s="1"/>
      <c r="IC433" s="1"/>
      <c r="ID433" s="1"/>
      <c r="IE433" s="1"/>
      <c r="IF433" s="1"/>
      <c r="IG433" s="1"/>
      <c r="IH433" s="1"/>
      <c r="II433" s="1"/>
      <c r="IJ433" s="1"/>
      <c r="IK433" s="1"/>
      <c r="IL433" s="1"/>
      <c r="IM433" s="1"/>
      <c r="IN433" s="1"/>
      <c r="IO433" s="1"/>
      <c r="IP433" s="1"/>
      <c r="IQ433" s="1"/>
      <c r="IR433" s="1"/>
      <c r="IS433" s="1"/>
      <c r="IT433" s="1"/>
      <c r="IU433" s="1"/>
    </row>
    <row r="434" spans="14:255" s="30" customFormat="1" ht="12.95" customHeight="1" x14ac:dyDescent="0.2">
      <c r="N434" s="31"/>
      <c r="IB434" s="1"/>
      <c r="IC434" s="1"/>
      <c r="ID434" s="1"/>
      <c r="IE434" s="1"/>
      <c r="IF434" s="1"/>
      <c r="IG434" s="1"/>
      <c r="IH434" s="1"/>
      <c r="II434" s="1"/>
      <c r="IJ434" s="1"/>
      <c r="IK434" s="1"/>
      <c r="IL434" s="1"/>
      <c r="IM434" s="1"/>
      <c r="IN434" s="1"/>
      <c r="IO434" s="1"/>
      <c r="IP434" s="1"/>
      <c r="IQ434" s="1"/>
      <c r="IR434" s="1"/>
      <c r="IS434" s="1"/>
      <c r="IT434" s="1"/>
      <c r="IU434" s="1"/>
    </row>
    <row r="435" spans="14:255" s="30" customFormat="1" ht="12.95" customHeight="1" x14ac:dyDescent="0.2">
      <c r="N435" s="31"/>
      <c r="IB435" s="1"/>
      <c r="IC435" s="1"/>
      <c r="ID435" s="1"/>
      <c r="IE435" s="1"/>
      <c r="IF435" s="1"/>
      <c r="IG435" s="1"/>
      <c r="IH435" s="1"/>
      <c r="II435" s="1"/>
      <c r="IJ435" s="1"/>
      <c r="IK435" s="1"/>
      <c r="IL435" s="1"/>
      <c r="IM435" s="1"/>
      <c r="IN435" s="1"/>
      <c r="IO435" s="1"/>
      <c r="IP435" s="1"/>
      <c r="IQ435" s="1"/>
      <c r="IR435" s="1"/>
      <c r="IS435" s="1"/>
      <c r="IT435" s="1"/>
      <c r="IU435" s="1"/>
    </row>
    <row r="436" spans="14:255" s="30" customFormat="1" ht="12.95" customHeight="1" x14ac:dyDescent="0.2">
      <c r="N436" s="31"/>
      <c r="IB436" s="1"/>
      <c r="IC436" s="1"/>
      <c r="ID436" s="1"/>
      <c r="IE436" s="1"/>
      <c r="IF436" s="1"/>
      <c r="IG436" s="1"/>
      <c r="IH436" s="1"/>
      <c r="II436" s="1"/>
      <c r="IJ436" s="1"/>
      <c r="IK436" s="1"/>
      <c r="IL436" s="1"/>
      <c r="IM436" s="1"/>
      <c r="IN436" s="1"/>
      <c r="IO436" s="1"/>
      <c r="IP436" s="1"/>
      <c r="IQ436" s="1"/>
      <c r="IR436" s="1"/>
      <c r="IS436" s="1"/>
      <c r="IT436" s="1"/>
      <c r="IU436" s="1"/>
    </row>
    <row r="437" spans="14:255" s="30" customFormat="1" ht="12.95" customHeight="1" x14ac:dyDescent="0.2">
      <c r="N437" s="31"/>
      <c r="IB437" s="1"/>
      <c r="IC437" s="1"/>
      <c r="ID437" s="1"/>
      <c r="IE437" s="1"/>
      <c r="IF437" s="1"/>
      <c r="IG437" s="1"/>
      <c r="IH437" s="1"/>
      <c r="II437" s="1"/>
      <c r="IJ437" s="1"/>
      <c r="IK437" s="1"/>
      <c r="IL437" s="1"/>
      <c r="IM437" s="1"/>
      <c r="IN437" s="1"/>
      <c r="IO437" s="1"/>
      <c r="IP437" s="1"/>
      <c r="IQ437" s="1"/>
      <c r="IR437" s="1"/>
      <c r="IS437" s="1"/>
      <c r="IT437" s="1"/>
      <c r="IU437" s="1"/>
    </row>
    <row r="438" spans="14:255" s="30" customFormat="1" ht="12.95" customHeight="1" x14ac:dyDescent="0.2">
      <c r="N438" s="31"/>
      <c r="IB438" s="1"/>
      <c r="IC438" s="1"/>
      <c r="ID438" s="1"/>
      <c r="IE438" s="1"/>
      <c r="IF438" s="1"/>
      <c r="IG438" s="1"/>
      <c r="IH438" s="1"/>
      <c r="II438" s="1"/>
      <c r="IJ438" s="1"/>
      <c r="IK438" s="1"/>
      <c r="IL438" s="1"/>
      <c r="IM438" s="1"/>
      <c r="IN438" s="1"/>
      <c r="IO438" s="1"/>
      <c r="IP438" s="1"/>
      <c r="IQ438" s="1"/>
      <c r="IR438" s="1"/>
      <c r="IS438" s="1"/>
      <c r="IT438" s="1"/>
      <c r="IU438" s="1"/>
    </row>
    <row r="439" spans="14:255" s="30" customFormat="1" ht="12.95" customHeight="1" x14ac:dyDescent="0.2">
      <c r="N439" s="31"/>
      <c r="IB439" s="1"/>
      <c r="IC439" s="1"/>
      <c r="ID439" s="1"/>
      <c r="IE439" s="1"/>
      <c r="IF439" s="1"/>
      <c r="IG439" s="1"/>
      <c r="IH439" s="1"/>
      <c r="II439" s="1"/>
      <c r="IJ439" s="1"/>
      <c r="IK439" s="1"/>
      <c r="IL439" s="1"/>
      <c r="IM439" s="1"/>
      <c r="IN439" s="1"/>
      <c r="IO439" s="1"/>
      <c r="IP439" s="1"/>
      <c r="IQ439" s="1"/>
      <c r="IR439" s="1"/>
      <c r="IS439" s="1"/>
      <c r="IT439" s="1"/>
      <c r="IU439" s="1"/>
    </row>
    <row r="440" spans="14:255" s="30" customFormat="1" ht="12.95" customHeight="1" x14ac:dyDescent="0.2">
      <c r="N440" s="31"/>
      <c r="IB440" s="1"/>
      <c r="IC440" s="1"/>
      <c r="ID440" s="1"/>
      <c r="IE440" s="1"/>
      <c r="IF440" s="1"/>
      <c r="IG440" s="1"/>
      <c r="IH440" s="1"/>
      <c r="II440" s="1"/>
      <c r="IJ440" s="1"/>
      <c r="IK440" s="1"/>
      <c r="IL440" s="1"/>
      <c r="IM440" s="1"/>
      <c r="IN440" s="1"/>
      <c r="IO440" s="1"/>
      <c r="IP440" s="1"/>
      <c r="IQ440" s="1"/>
      <c r="IR440" s="1"/>
      <c r="IS440" s="1"/>
      <c r="IT440" s="1"/>
      <c r="IU440" s="1"/>
    </row>
    <row r="441" spans="14:255" s="30" customFormat="1" ht="12.95" customHeight="1" x14ac:dyDescent="0.2">
      <c r="N441" s="31"/>
      <c r="IB441" s="1"/>
      <c r="IC441" s="1"/>
      <c r="ID441" s="1"/>
      <c r="IE441" s="1"/>
      <c r="IF441" s="1"/>
      <c r="IG441" s="1"/>
      <c r="IH441" s="1"/>
      <c r="II441" s="1"/>
      <c r="IJ441" s="1"/>
      <c r="IK441" s="1"/>
      <c r="IL441" s="1"/>
      <c r="IM441" s="1"/>
      <c r="IN441" s="1"/>
      <c r="IO441" s="1"/>
      <c r="IP441" s="1"/>
      <c r="IQ441" s="1"/>
      <c r="IR441" s="1"/>
      <c r="IS441" s="1"/>
      <c r="IT441" s="1"/>
      <c r="IU441" s="1"/>
    </row>
    <row r="442" spans="14:255" s="30" customFormat="1" ht="12.95" customHeight="1" x14ac:dyDescent="0.2">
      <c r="N442" s="31"/>
      <c r="IB442" s="1"/>
      <c r="IC442" s="1"/>
      <c r="ID442" s="1"/>
      <c r="IE442" s="1"/>
      <c r="IF442" s="1"/>
      <c r="IG442" s="1"/>
      <c r="IH442" s="1"/>
      <c r="II442" s="1"/>
      <c r="IJ442" s="1"/>
      <c r="IK442" s="1"/>
      <c r="IL442" s="1"/>
      <c r="IM442" s="1"/>
      <c r="IN442" s="1"/>
      <c r="IO442" s="1"/>
      <c r="IP442" s="1"/>
      <c r="IQ442" s="1"/>
      <c r="IR442" s="1"/>
      <c r="IS442" s="1"/>
      <c r="IT442" s="1"/>
      <c r="IU442" s="1"/>
    </row>
    <row r="443" spans="14:255" s="30" customFormat="1" ht="12.95" customHeight="1" x14ac:dyDescent="0.2">
      <c r="N443" s="31"/>
      <c r="IB443" s="1"/>
      <c r="IC443" s="1"/>
      <c r="ID443" s="1"/>
      <c r="IE443" s="1"/>
      <c r="IF443" s="1"/>
      <c r="IG443" s="1"/>
      <c r="IH443" s="1"/>
      <c r="II443" s="1"/>
      <c r="IJ443" s="1"/>
      <c r="IK443" s="1"/>
      <c r="IL443" s="1"/>
      <c r="IM443" s="1"/>
      <c r="IN443" s="1"/>
      <c r="IO443" s="1"/>
      <c r="IP443" s="1"/>
      <c r="IQ443" s="1"/>
      <c r="IR443" s="1"/>
      <c r="IS443" s="1"/>
      <c r="IT443" s="1"/>
      <c r="IU443" s="1"/>
    </row>
    <row r="444" spans="14:255" s="30" customFormat="1" ht="12.95" customHeight="1" x14ac:dyDescent="0.2">
      <c r="N444" s="31"/>
      <c r="IB444" s="1"/>
      <c r="IC444" s="1"/>
      <c r="ID444" s="1"/>
      <c r="IE444" s="1"/>
      <c r="IF444" s="1"/>
      <c r="IG444" s="1"/>
      <c r="IH444" s="1"/>
      <c r="II444" s="1"/>
      <c r="IJ444" s="1"/>
      <c r="IK444" s="1"/>
      <c r="IL444" s="1"/>
      <c r="IM444" s="1"/>
      <c r="IN444" s="1"/>
      <c r="IO444" s="1"/>
      <c r="IP444" s="1"/>
      <c r="IQ444" s="1"/>
      <c r="IR444" s="1"/>
      <c r="IS444" s="1"/>
      <c r="IT444" s="1"/>
      <c r="IU444" s="1"/>
    </row>
    <row r="445" spans="14:255" s="30" customFormat="1" ht="12.95" customHeight="1" x14ac:dyDescent="0.2">
      <c r="N445" s="31"/>
      <c r="IB445" s="1"/>
      <c r="IC445" s="1"/>
      <c r="ID445" s="1"/>
      <c r="IE445" s="1"/>
      <c r="IF445" s="1"/>
      <c r="IG445" s="1"/>
      <c r="IH445" s="1"/>
      <c r="II445" s="1"/>
      <c r="IJ445" s="1"/>
      <c r="IK445" s="1"/>
      <c r="IL445" s="1"/>
      <c r="IM445" s="1"/>
      <c r="IN445" s="1"/>
      <c r="IO445" s="1"/>
      <c r="IP445" s="1"/>
      <c r="IQ445" s="1"/>
      <c r="IR445" s="1"/>
      <c r="IS445" s="1"/>
      <c r="IT445" s="1"/>
      <c r="IU445" s="1"/>
    </row>
    <row r="446" spans="14:255" s="30" customFormat="1" ht="12.95" customHeight="1" x14ac:dyDescent="0.2">
      <c r="N446" s="31"/>
      <c r="IB446" s="1"/>
      <c r="IC446" s="1"/>
      <c r="ID446" s="1"/>
      <c r="IE446" s="1"/>
      <c r="IF446" s="1"/>
      <c r="IG446" s="1"/>
      <c r="IH446" s="1"/>
      <c r="II446" s="1"/>
      <c r="IJ446" s="1"/>
      <c r="IK446" s="1"/>
      <c r="IL446" s="1"/>
      <c r="IM446" s="1"/>
      <c r="IN446" s="1"/>
      <c r="IO446" s="1"/>
      <c r="IP446" s="1"/>
      <c r="IQ446" s="1"/>
      <c r="IR446" s="1"/>
      <c r="IS446" s="1"/>
      <c r="IT446" s="1"/>
      <c r="IU446" s="1"/>
    </row>
    <row r="447" spans="14:255" s="30" customFormat="1" ht="12.95" customHeight="1" x14ac:dyDescent="0.2">
      <c r="N447" s="31"/>
      <c r="IB447" s="1"/>
      <c r="IC447" s="1"/>
      <c r="ID447" s="1"/>
      <c r="IE447" s="1"/>
      <c r="IF447" s="1"/>
      <c r="IG447" s="1"/>
      <c r="IH447" s="1"/>
      <c r="II447" s="1"/>
      <c r="IJ447" s="1"/>
      <c r="IK447" s="1"/>
      <c r="IL447" s="1"/>
      <c r="IM447" s="1"/>
      <c r="IN447" s="1"/>
      <c r="IO447" s="1"/>
      <c r="IP447" s="1"/>
      <c r="IQ447" s="1"/>
      <c r="IR447" s="1"/>
      <c r="IS447" s="1"/>
      <c r="IT447" s="1"/>
      <c r="IU447" s="1"/>
    </row>
    <row r="448" spans="14:255" s="30" customFormat="1" ht="12.95" customHeight="1" x14ac:dyDescent="0.2">
      <c r="N448" s="31"/>
      <c r="IB448" s="1"/>
      <c r="IC448" s="1"/>
      <c r="ID448" s="1"/>
      <c r="IE448" s="1"/>
      <c r="IF448" s="1"/>
      <c r="IG448" s="1"/>
      <c r="IH448" s="1"/>
      <c r="II448" s="1"/>
      <c r="IJ448" s="1"/>
      <c r="IK448" s="1"/>
      <c r="IL448" s="1"/>
      <c r="IM448" s="1"/>
      <c r="IN448" s="1"/>
      <c r="IO448" s="1"/>
      <c r="IP448" s="1"/>
      <c r="IQ448" s="1"/>
      <c r="IR448" s="1"/>
      <c r="IS448" s="1"/>
      <c r="IT448" s="1"/>
      <c r="IU448" s="1"/>
    </row>
    <row r="449" spans="14:255" s="30" customFormat="1" ht="12.95" customHeight="1" x14ac:dyDescent="0.2">
      <c r="N449" s="31"/>
      <c r="IB449" s="1"/>
      <c r="IC449" s="1"/>
      <c r="ID449" s="1"/>
      <c r="IE449" s="1"/>
      <c r="IF449" s="1"/>
      <c r="IG449" s="1"/>
      <c r="IH449" s="1"/>
      <c r="II449" s="1"/>
      <c r="IJ449" s="1"/>
      <c r="IK449" s="1"/>
      <c r="IL449" s="1"/>
      <c r="IM449" s="1"/>
      <c r="IN449" s="1"/>
      <c r="IO449" s="1"/>
      <c r="IP449" s="1"/>
      <c r="IQ449" s="1"/>
      <c r="IR449" s="1"/>
      <c r="IS449" s="1"/>
      <c r="IT449" s="1"/>
      <c r="IU449" s="1"/>
    </row>
    <row r="450" spans="14:255" s="30" customFormat="1" ht="12.95" customHeight="1" x14ac:dyDescent="0.2">
      <c r="N450" s="31"/>
      <c r="IB450" s="1"/>
      <c r="IC450" s="1"/>
      <c r="ID450" s="1"/>
      <c r="IE450" s="1"/>
      <c r="IF450" s="1"/>
      <c r="IG450" s="1"/>
      <c r="IH450" s="1"/>
      <c r="II450" s="1"/>
      <c r="IJ450" s="1"/>
      <c r="IK450" s="1"/>
      <c r="IL450" s="1"/>
      <c r="IM450" s="1"/>
      <c r="IN450" s="1"/>
      <c r="IO450" s="1"/>
      <c r="IP450" s="1"/>
      <c r="IQ450" s="1"/>
      <c r="IR450" s="1"/>
      <c r="IS450" s="1"/>
      <c r="IT450" s="1"/>
      <c r="IU450" s="1"/>
    </row>
    <row r="451" spans="14:255" s="30" customFormat="1" ht="12.95" customHeight="1" x14ac:dyDescent="0.2">
      <c r="N451" s="31"/>
      <c r="IB451" s="1"/>
      <c r="IC451" s="1"/>
      <c r="ID451" s="1"/>
      <c r="IE451" s="1"/>
      <c r="IF451" s="1"/>
      <c r="IG451" s="1"/>
      <c r="IH451" s="1"/>
      <c r="II451" s="1"/>
      <c r="IJ451" s="1"/>
      <c r="IK451" s="1"/>
      <c r="IL451" s="1"/>
      <c r="IM451" s="1"/>
      <c r="IN451" s="1"/>
      <c r="IO451" s="1"/>
      <c r="IP451" s="1"/>
      <c r="IQ451" s="1"/>
      <c r="IR451" s="1"/>
      <c r="IS451" s="1"/>
      <c r="IT451" s="1"/>
      <c r="IU451" s="1"/>
    </row>
    <row r="452" spans="14:255" s="30" customFormat="1" ht="12.95" customHeight="1" x14ac:dyDescent="0.2">
      <c r="N452" s="31"/>
      <c r="IB452" s="1"/>
      <c r="IC452" s="1"/>
      <c r="ID452" s="1"/>
      <c r="IE452" s="1"/>
      <c r="IF452" s="1"/>
      <c r="IG452" s="1"/>
      <c r="IH452" s="1"/>
      <c r="II452" s="1"/>
      <c r="IJ452" s="1"/>
      <c r="IK452" s="1"/>
      <c r="IL452" s="1"/>
      <c r="IM452" s="1"/>
      <c r="IN452" s="1"/>
      <c r="IO452" s="1"/>
      <c r="IP452" s="1"/>
      <c r="IQ452" s="1"/>
      <c r="IR452" s="1"/>
      <c r="IS452" s="1"/>
      <c r="IT452" s="1"/>
      <c r="IU452" s="1"/>
    </row>
    <row r="453" spans="14:255" s="30" customFormat="1" ht="12.95" customHeight="1" x14ac:dyDescent="0.2">
      <c r="N453" s="31"/>
      <c r="IB453" s="1"/>
      <c r="IC453" s="1"/>
      <c r="ID453" s="1"/>
      <c r="IE453" s="1"/>
      <c r="IF453" s="1"/>
      <c r="IG453" s="1"/>
      <c r="IH453" s="1"/>
      <c r="II453" s="1"/>
      <c r="IJ453" s="1"/>
      <c r="IK453" s="1"/>
      <c r="IL453" s="1"/>
      <c r="IM453" s="1"/>
      <c r="IN453" s="1"/>
      <c r="IO453" s="1"/>
      <c r="IP453" s="1"/>
      <c r="IQ453" s="1"/>
      <c r="IR453" s="1"/>
      <c r="IS453" s="1"/>
      <c r="IT453" s="1"/>
      <c r="IU453" s="1"/>
    </row>
    <row r="454" spans="14:255" s="30" customFormat="1" ht="12.95" customHeight="1" x14ac:dyDescent="0.2">
      <c r="N454" s="31"/>
      <c r="IB454" s="1"/>
      <c r="IC454" s="1"/>
      <c r="ID454" s="1"/>
      <c r="IE454" s="1"/>
      <c r="IF454" s="1"/>
      <c r="IG454" s="1"/>
      <c r="IH454" s="1"/>
      <c r="II454" s="1"/>
      <c r="IJ454" s="1"/>
      <c r="IK454" s="1"/>
      <c r="IL454" s="1"/>
      <c r="IM454" s="1"/>
      <c r="IN454" s="1"/>
      <c r="IO454" s="1"/>
      <c r="IP454" s="1"/>
      <c r="IQ454" s="1"/>
      <c r="IR454" s="1"/>
      <c r="IS454" s="1"/>
      <c r="IT454" s="1"/>
      <c r="IU454" s="1"/>
    </row>
    <row r="455" spans="14:255" s="30" customFormat="1" ht="12.95" customHeight="1" x14ac:dyDescent="0.2">
      <c r="N455" s="31"/>
      <c r="IB455" s="1"/>
      <c r="IC455" s="1"/>
      <c r="ID455" s="1"/>
      <c r="IE455" s="1"/>
      <c r="IF455" s="1"/>
      <c r="IG455" s="1"/>
      <c r="IH455" s="1"/>
      <c r="II455" s="1"/>
      <c r="IJ455" s="1"/>
      <c r="IK455" s="1"/>
      <c r="IL455" s="1"/>
      <c r="IM455" s="1"/>
      <c r="IN455" s="1"/>
      <c r="IO455" s="1"/>
      <c r="IP455" s="1"/>
      <c r="IQ455" s="1"/>
      <c r="IR455" s="1"/>
      <c r="IS455" s="1"/>
      <c r="IT455" s="1"/>
      <c r="IU455" s="1"/>
    </row>
    <row r="456" spans="14:255" s="30" customFormat="1" ht="12.95" customHeight="1" x14ac:dyDescent="0.2">
      <c r="N456" s="31"/>
      <c r="IB456" s="1"/>
      <c r="IC456" s="1"/>
      <c r="ID456" s="1"/>
      <c r="IE456" s="1"/>
      <c r="IF456" s="1"/>
      <c r="IG456" s="1"/>
      <c r="IH456" s="1"/>
      <c r="II456" s="1"/>
      <c r="IJ456" s="1"/>
      <c r="IK456" s="1"/>
      <c r="IL456" s="1"/>
      <c r="IM456" s="1"/>
      <c r="IN456" s="1"/>
      <c r="IO456" s="1"/>
      <c r="IP456" s="1"/>
      <c r="IQ456" s="1"/>
      <c r="IR456" s="1"/>
      <c r="IS456" s="1"/>
      <c r="IT456" s="1"/>
      <c r="IU456" s="1"/>
    </row>
    <row r="457" spans="14:255" s="30" customFormat="1" ht="12.95" customHeight="1" x14ac:dyDescent="0.2">
      <c r="N457" s="31"/>
      <c r="IB457" s="1"/>
      <c r="IC457" s="1"/>
      <c r="ID457" s="1"/>
      <c r="IE457" s="1"/>
      <c r="IF457" s="1"/>
      <c r="IG457" s="1"/>
      <c r="IH457" s="1"/>
      <c r="II457" s="1"/>
      <c r="IJ457" s="1"/>
      <c r="IK457" s="1"/>
      <c r="IL457" s="1"/>
      <c r="IM457" s="1"/>
      <c r="IN457" s="1"/>
      <c r="IO457" s="1"/>
      <c r="IP457" s="1"/>
      <c r="IQ457" s="1"/>
      <c r="IR457" s="1"/>
      <c r="IS457" s="1"/>
      <c r="IT457" s="1"/>
      <c r="IU457" s="1"/>
    </row>
    <row r="458" spans="14:255" s="30" customFormat="1" ht="12.95" customHeight="1" x14ac:dyDescent="0.2">
      <c r="N458" s="31"/>
      <c r="IB458" s="1"/>
      <c r="IC458" s="1"/>
      <c r="ID458" s="1"/>
      <c r="IE458" s="1"/>
      <c r="IF458" s="1"/>
      <c r="IG458" s="1"/>
      <c r="IH458" s="1"/>
      <c r="II458" s="1"/>
      <c r="IJ458" s="1"/>
      <c r="IK458" s="1"/>
      <c r="IL458" s="1"/>
      <c r="IM458" s="1"/>
      <c r="IN458" s="1"/>
      <c r="IO458" s="1"/>
      <c r="IP458" s="1"/>
      <c r="IQ458" s="1"/>
      <c r="IR458" s="1"/>
      <c r="IS458" s="1"/>
      <c r="IT458" s="1"/>
      <c r="IU458" s="1"/>
    </row>
    <row r="459" spans="14:255" s="30" customFormat="1" ht="12.95" customHeight="1" x14ac:dyDescent="0.2">
      <c r="N459" s="31"/>
      <c r="IB459" s="1"/>
      <c r="IC459" s="1"/>
      <c r="ID459" s="1"/>
      <c r="IE459" s="1"/>
      <c r="IF459" s="1"/>
      <c r="IG459" s="1"/>
      <c r="IH459" s="1"/>
      <c r="II459" s="1"/>
      <c r="IJ459" s="1"/>
      <c r="IK459" s="1"/>
      <c r="IL459" s="1"/>
      <c r="IM459" s="1"/>
      <c r="IN459" s="1"/>
      <c r="IO459" s="1"/>
      <c r="IP459" s="1"/>
      <c r="IQ459" s="1"/>
      <c r="IR459" s="1"/>
      <c r="IS459" s="1"/>
      <c r="IT459" s="1"/>
      <c r="IU459" s="1"/>
    </row>
    <row r="460" spans="14:255" s="30" customFormat="1" ht="12.95" customHeight="1" x14ac:dyDescent="0.2">
      <c r="N460" s="31"/>
      <c r="IB460" s="1"/>
      <c r="IC460" s="1"/>
      <c r="ID460" s="1"/>
      <c r="IE460" s="1"/>
      <c r="IF460" s="1"/>
      <c r="IG460" s="1"/>
      <c r="IH460" s="1"/>
      <c r="II460" s="1"/>
      <c r="IJ460" s="1"/>
      <c r="IK460" s="1"/>
      <c r="IL460" s="1"/>
      <c r="IM460" s="1"/>
      <c r="IN460" s="1"/>
      <c r="IO460" s="1"/>
      <c r="IP460" s="1"/>
      <c r="IQ460" s="1"/>
      <c r="IR460" s="1"/>
      <c r="IS460" s="1"/>
      <c r="IT460" s="1"/>
      <c r="IU460" s="1"/>
    </row>
    <row r="461" spans="14:255" s="30" customFormat="1" ht="12.95" customHeight="1" x14ac:dyDescent="0.2">
      <c r="N461" s="31"/>
      <c r="IB461" s="1"/>
      <c r="IC461" s="1"/>
      <c r="ID461" s="1"/>
      <c r="IE461" s="1"/>
      <c r="IF461" s="1"/>
      <c r="IG461" s="1"/>
      <c r="IH461" s="1"/>
      <c r="II461" s="1"/>
      <c r="IJ461" s="1"/>
      <c r="IK461" s="1"/>
      <c r="IL461" s="1"/>
      <c r="IM461" s="1"/>
      <c r="IN461" s="1"/>
      <c r="IO461" s="1"/>
      <c r="IP461" s="1"/>
      <c r="IQ461" s="1"/>
      <c r="IR461" s="1"/>
      <c r="IS461" s="1"/>
      <c r="IT461" s="1"/>
      <c r="IU461" s="1"/>
    </row>
    <row r="462" spans="14:255" s="30" customFormat="1" ht="12.95" customHeight="1" x14ac:dyDescent="0.2">
      <c r="N462" s="31"/>
      <c r="IB462" s="1"/>
      <c r="IC462" s="1"/>
      <c r="ID462" s="1"/>
      <c r="IE462" s="1"/>
      <c r="IF462" s="1"/>
      <c r="IG462" s="1"/>
      <c r="IH462" s="1"/>
      <c r="II462" s="1"/>
      <c r="IJ462" s="1"/>
      <c r="IK462" s="1"/>
      <c r="IL462" s="1"/>
      <c r="IM462" s="1"/>
      <c r="IN462" s="1"/>
      <c r="IO462" s="1"/>
      <c r="IP462" s="1"/>
      <c r="IQ462" s="1"/>
      <c r="IR462" s="1"/>
      <c r="IS462" s="1"/>
      <c r="IT462" s="1"/>
      <c r="IU462" s="1"/>
    </row>
    <row r="463" spans="14:255" s="30" customFormat="1" ht="12.95" customHeight="1" x14ac:dyDescent="0.2">
      <c r="N463" s="31"/>
      <c r="IB463" s="1"/>
      <c r="IC463" s="1"/>
      <c r="ID463" s="1"/>
      <c r="IE463" s="1"/>
      <c r="IF463" s="1"/>
      <c r="IG463" s="1"/>
      <c r="IH463" s="1"/>
      <c r="II463" s="1"/>
      <c r="IJ463" s="1"/>
      <c r="IK463" s="1"/>
      <c r="IL463" s="1"/>
      <c r="IM463" s="1"/>
      <c r="IN463" s="1"/>
      <c r="IO463" s="1"/>
      <c r="IP463" s="1"/>
      <c r="IQ463" s="1"/>
      <c r="IR463" s="1"/>
      <c r="IS463" s="1"/>
      <c r="IT463" s="1"/>
      <c r="IU463" s="1"/>
    </row>
    <row r="464" spans="14:255" s="30" customFormat="1" ht="12.95" customHeight="1" x14ac:dyDescent="0.2">
      <c r="N464" s="31"/>
      <c r="IB464" s="1"/>
      <c r="IC464" s="1"/>
      <c r="ID464" s="1"/>
      <c r="IE464" s="1"/>
      <c r="IF464" s="1"/>
      <c r="IG464" s="1"/>
      <c r="IH464" s="1"/>
      <c r="II464" s="1"/>
      <c r="IJ464" s="1"/>
      <c r="IK464" s="1"/>
      <c r="IL464" s="1"/>
      <c r="IM464" s="1"/>
      <c r="IN464" s="1"/>
      <c r="IO464" s="1"/>
      <c r="IP464" s="1"/>
      <c r="IQ464" s="1"/>
      <c r="IR464" s="1"/>
      <c r="IS464" s="1"/>
      <c r="IT464" s="1"/>
      <c r="IU464" s="1"/>
    </row>
    <row r="465" spans="14:255" s="30" customFormat="1" ht="12.95" customHeight="1" x14ac:dyDescent="0.2">
      <c r="N465" s="31"/>
      <c r="IB465" s="1"/>
      <c r="IC465" s="1"/>
      <c r="ID465" s="1"/>
      <c r="IE465" s="1"/>
      <c r="IF465" s="1"/>
      <c r="IG465" s="1"/>
      <c r="IH465" s="1"/>
      <c r="II465" s="1"/>
      <c r="IJ465" s="1"/>
      <c r="IK465" s="1"/>
      <c r="IL465" s="1"/>
      <c r="IM465" s="1"/>
      <c r="IN465" s="1"/>
      <c r="IO465" s="1"/>
      <c r="IP465" s="1"/>
      <c r="IQ465" s="1"/>
      <c r="IR465" s="1"/>
      <c r="IS465" s="1"/>
      <c r="IT465" s="1"/>
      <c r="IU465" s="1"/>
    </row>
    <row r="466" spans="14:255" s="30" customFormat="1" ht="12.95" customHeight="1" x14ac:dyDescent="0.2">
      <c r="N466" s="31"/>
      <c r="IB466" s="1"/>
      <c r="IC466" s="1"/>
      <c r="ID466" s="1"/>
      <c r="IE466" s="1"/>
      <c r="IF466" s="1"/>
      <c r="IG466" s="1"/>
      <c r="IH466" s="1"/>
      <c r="II466" s="1"/>
      <c r="IJ466" s="1"/>
      <c r="IK466" s="1"/>
      <c r="IL466" s="1"/>
      <c r="IM466" s="1"/>
      <c r="IN466" s="1"/>
      <c r="IO466" s="1"/>
      <c r="IP466" s="1"/>
      <c r="IQ466" s="1"/>
      <c r="IR466" s="1"/>
      <c r="IS466" s="1"/>
      <c r="IT466" s="1"/>
      <c r="IU466" s="1"/>
    </row>
    <row r="467" spans="14:255" s="30" customFormat="1" ht="12.95" customHeight="1" x14ac:dyDescent="0.2">
      <c r="N467" s="31"/>
      <c r="IB467" s="1"/>
      <c r="IC467" s="1"/>
      <c r="ID467" s="1"/>
      <c r="IE467" s="1"/>
      <c r="IF467" s="1"/>
      <c r="IG467" s="1"/>
      <c r="IH467" s="1"/>
      <c r="II467" s="1"/>
      <c r="IJ467" s="1"/>
      <c r="IK467" s="1"/>
      <c r="IL467" s="1"/>
      <c r="IM467" s="1"/>
      <c r="IN467" s="1"/>
      <c r="IO467" s="1"/>
      <c r="IP467" s="1"/>
      <c r="IQ467" s="1"/>
      <c r="IR467" s="1"/>
      <c r="IS467" s="1"/>
      <c r="IT467" s="1"/>
      <c r="IU467" s="1"/>
    </row>
    <row r="468" spans="14:255" s="30" customFormat="1" ht="12.95" customHeight="1" x14ac:dyDescent="0.2">
      <c r="N468" s="31"/>
      <c r="IB468" s="1"/>
      <c r="IC468" s="1"/>
      <c r="ID468" s="1"/>
      <c r="IE468" s="1"/>
      <c r="IF468" s="1"/>
      <c r="IG468" s="1"/>
      <c r="IH468" s="1"/>
      <c r="II468" s="1"/>
      <c r="IJ468" s="1"/>
      <c r="IK468" s="1"/>
      <c r="IL468" s="1"/>
      <c r="IM468" s="1"/>
      <c r="IN468" s="1"/>
      <c r="IO468" s="1"/>
      <c r="IP468" s="1"/>
      <c r="IQ468" s="1"/>
      <c r="IR468" s="1"/>
      <c r="IS468" s="1"/>
      <c r="IT468" s="1"/>
      <c r="IU468" s="1"/>
    </row>
    <row r="469" spans="14:255" s="30" customFormat="1" ht="12.95" customHeight="1" x14ac:dyDescent="0.2">
      <c r="N469" s="31"/>
      <c r="IB469" s="1"/>
      <c r="IC469" s="1"/>
      <c r="ID469" s="1"/>
      <c r="IE469" s="1"/>
      <c r="IF469" s="1"/>
      <c r="IG469" s="1"/>
      <c r="IH469" s="1"/>
      <c r="II469" s="1"/>
      <c r="IJ469" s="1"/>
      <c r="IK469" s="1"/>
      <c r="IL469" s="1"/>
      <c r="IM469" s="1"/>
      <c r="IN469" s="1"/>
      <c r="IO469" s="1"/>
      <c r="IP469" s="1"/>
      <c r="IQ469" s="1"/>
      <c r="IR469" s="1"/>
      <c r="IS469" s="1"/>
      <c r="IT469" s="1"/>
      <c r="IU469" s="1"/>
    </row>
    <row r="470" spans="14:255" s="30" customFormat="1" ht="12.95" customHeight="1" x14ac:dyDescent="0.2">
      <c r="N470" s="31"/>
      <c r="IB470" s="1"/>
      <c r="IC470" s="1"/>
      <c r="ID470" s="1"/>
      <c r="IE470" s="1"/>
      <c r="IF470" s="1"/>
      <c r="IG470" s="1"/>
      <c r="IH470" s="1"/>
      <c r="II470" s="1"/>
      <c r="IJ470" s="1"/>
      <c r="IK470" s="1"/>
      <c r="IL470" s="1"/>
      <c r="IM470" s="1"/>
      <c r="IN470" s="1"/>
      <c r="IO470" s="1"/>
      <c r="IP470" s="1"/>
      <c r="IQ470" s="1"/>
      <c r="IR470" s="1"/>
      <c r="IS470" s="1"/>
      <c r="IT470" s="1"/>
      <c r="IU470" s="1"/>
    </row>
    <row r="471" spans="14:255" s="30" customFormat="1" ht="12.95" customHeight="1" x14ac:dyDescent="0.2">
      <c r="N471" s="31"/>
      <c r="IB471" s="1"/>
      <c r="IC471" s="1"/>
      <c r="ID471" s="1"/>
      <c r="IE471" s="1"/>
      <c r="IF471" s="1"/>
      <c r="IG471" s="1"/>
      <c r="IH471" s="1"/>
      <c r="II471" s="1"/>
      <c r="IJ471" s="1"/>
      <c r="IK471" s="1"/>
      <c r="IL471" s="1"/>
      <c r="IM471" s="1"/>
      <c r="IN471" s="1"/>
      <c r="IO471" s="1"/>
      <c r="IP471" s="1"/>
      <c r="IQ471" s="1"/>
      <c r="IR471" s="1"/>
      <c r="IS471" s="1"/>
      <c r="IT471" s="1"/>
      <c r="IU471" s="1"/>
    </row>
    <row r="472" spans="14:255" s="30" customFormat="1" ht="12.95" customHeight="1" x14ac:dyDescent="0.2">
      <c r="N472" s="31"/>
      <c r="IB472" s="1"/>
      <c r="IC472" s="1"/>
      <c r="ID472" s="1"/>
      <c r="IE472" s="1"/>
      <c r="IF472" s="1"/>
      <c r="IG472" s="1"/>
      <c r="IH472" s="1"/>
      <c r="II472" s="1"/>
      <c r="IJ472" s="1"/>
      <c r="IK472" s="1"/>
      <c r="IL472" s="1"/>
      <c r="IM472" s="1"/>
      <c r="IN472" s="1"/>
      <c r="IO472" s="1"/>
      <c r="IP472" s="1"/>
      <c r="IQ472" s="1"/>
      <c r="IR472" s="1"/>
      <c r="IS472" s="1"/>
      <c r="IT472" s="1"/>
      <c r="IU472" s="1"/>
    </row>
    <row r="473" spans="14:255" s="30" customFormat="1" ht="12.95" customHeight="1" x14ac:dyDescent="0.2">
      <c r="N473" s="31"/>
      <c r="IB473" s="1"/>
      <c r="IC473" s="1"/>
      <c r="ID473" s="1"/>
      <c r="IE473" s="1"/>
      <c r="IF473" s="1"/>
      <c r="IG473" s="1"/>
      <c r="IH473" s="1"/>
      <c r="II473" s="1"/>
      <c r="IJ473" s="1"/>
      <c r="IK473" s="1"/>
      <c r="IL473" s="1"/>
      <c r="IM473" s="1"/>
      <c r="IN473" s="1"/>
      <c r="IO473" s="1"/>
      <c r="IP473" s="1"/>
      <c r="IQ473" s="1"/>
      <c r="IR473" s="1"/>
      <c r="IS473" s="1"/>
      <c r="IT473" s="1"/>
      <c r="IU473" s="1"/>
    </row>
    <row r="474" spans="14:255" s="30" customFormat="1" ht="12.95" customHeight="1" x14ac:dyDescent="0.2">
      <c r="N474" s="31"/>
      <c r="IB474" s="1"/>
      <c r="IC474" s="1"/>
      <c r="ID474" s="1"/>
      <c r="IE474" s="1"/>
      <c r="IF474" s="1"/>
      <c r="IG474" s="1"/>
      <c r="IH474" s="1"/>
      <c r="II474" s="1"/>
      <c r="IJ474" s="1"/>
      <c r="IK474" s="1"/>
      <c r="IL474" s="1"/>
      <c r="IM474" s="1"/>
      <c r="IN474" s="1"/>
      <c r="IO474" s="1"/>
      <c r="IP474" s="1"/>
      <c r="IQ474" s="1"/>
      <c r="IR474" s="1"/>
      <c r="IS474" s="1"/>
      <c r="IT474" s="1"/>
      <c r="IU474" s="1"/>
    </row>
    <row r="475" spans="14:255" s="30" customFormat="1" ht="12.95" customHeight="1" x14ac:dyDescent="0.2">
      <c r="N475" s="31"/>
      <c r="IB475" s="1"/>
      <c r="IC475" s="1"/>
      <c r="ID475" s="1"/>
      <c r="IE475" s="1"/>
      <c r="IF475" s="1"/>
      <c r="IG475" s="1"/>
      <c r="IH475" s="1"/>
      <c r="II475" s="1"/>
      <c r="IJ475" s="1"/>
      <c r="IK475" s="1"/>
      <c r="IL475" s="1"/>
      <c r="IM475" s="1"/>
      <c r="IN475" s="1"/>
      <c r="IO475" s="1"/>
      <c r="IP475" s="1"/>
      <c r="IQ475" s="1"/>
      <c r="IR475" s="1"/>
      <c r="IS475" s="1"/>
      <c r="IT475" s="1"/>
      <c r="IU475" s="1"/>
    </row>
    <row r="476" spans="14:255" s="30" customFormat="1" ht="12.95" customHeight="1" x14ac:dyDescent="0.2">
      <c r="N476" s="31"/>
      <c r="IB476" s="1"/>
      <c r="IC476" s="1"/>
      <c r="ID476" s="1"/>
      <c r="IE476" s="1"/>
      <c r="IF476" s="1"/>
      <c r="IG476" s="1"/>
      <c r="IH476" s="1"/>
      <c r="II476" s="1"/>
      <c r="IJ476" s="1"/>
      <c r="IK476" s="1"/>
      <c r="IL476" s="1"/>
      <c r="IM476" s="1"/>
      <c r="IN476" s="1"/>
      <c r="IO476" s="1"/>
      <c r="IP476" s="1"/>
      <c r="IQ476" s="1"/>
      <c r="IR476" s="1"/>
      <c r="IS476" s="1"/>
      <c r="IT476" s="1"/>
      <c r="IU476" s="1"/>
    </row>
    <row r="477" spans="14:255" s="30" customFormat="1" ht="12.95" customHeight="1" x14ac:dyDescent="0.2">
      <c r="N477" s="31"/>
      <c r="IB477" s="1"/>
      <c r="IC477" s="1"/>
      <c r="ID477" s="1"/>
      <c r="IE477" s="1"/>
      <c r="IF477" s="1"/>
      <c r="IG477" s="1"/>
      <c r="IH477" s="1"/>
      <c r="II477" s="1"/>
      <c r="IJ477" s="1"/>
      <c r="IK477" s="1"/>
      <c r="IL477" s="1"/>
      <c r="IM477" s="1"/>
      <c r="IN477" s="1"/>
      <c r="IO477" s="1"/>
      <c r="IP477" s="1"/>
      <c r="IQ477" s="1"/>
      <c r="IR477" s="1"/>
      <c r="IS477" s="1"/>
      <c r="IT477" s="1"/>
      <c r="IU477" s="1"/>
    </row>
    <row r="478" spans="14:255" s="30" customFormat="1" ht="12.95" customHeight="1" x14ac:dyDescent="0.2">
      <c r="N478" s="31"/>
      <c r="IB478" s="1"/>
      <c r="IC478" s="1"/>
      <c r="ID478" s="1"/>
      <c r="IE478" s="1"/>
      <c r="IF478" s="1"/>
      <c r="IG478" s="1"/>
      <c r="IH478" s="1"/>
      <c r="II478" s="1"/>
      <c r="IJ478" s="1"/>
      <c r="IK478" s="1"/>
      <c r="IL478" s="1"/>
      <c r="IM478" s="1"/>
      <c r="IN478" s="1"/>
      <c r="IO478" s="1"/>
      <c r="IP478" s="1"/>
      <c r="IQ478" s="1"/>
      <c r="IR478" s="1"/>
      <c r="IS478" s="1"/>
      <c r="IT478" s="1"/>
      <c r="IU478" s="1"/>
    </row>
    <row r="479" spans="14:255" s="30" customFormat="1" ht="12.95" customHeight="1" x14ac:dyDescent="0.2">
      <c r="N479" s="31"/>
      <c r="IB479" s="1"/>
      <c r="IC479" s="1"/>
      <c r="ID479" s="1"/>
      <c r="IE479" s="1"/>
      <c r="IF479" s="1"/>
      <c r="IG479" s="1"/>
      <c r="IH479" s="1"/>
      <c r="II479" s="1"/>
      <c r="IJ479" s="1"/>
      <c r="IK479" s="1"/>
      <c r="IL479" s="1"/>
      <c r="IM479" s="1"/>
      <c r="IN479" s="1"/>
      <c r="IO479" s="1"/>
      <c r="IP479" s="1"/>
      <c r="IQ479" s="1"/>
      <c r="IR479" s="1"/>
      <c r="IS479" s="1"/>
      <c r="IT479" s="1"/>
      <c r="IU479" s="1"/>
    </row>
    <row r="480" spans="14:255" s="30" customFormat="1" ht="12.95" customHeight="1" x14ac:dyDescent="0.2">
      <c r="N480" s="31"/>
      <c r="IB480" s="1"/>
      <c r="IC480" s="1"/>
      <c r="ID480" s="1"/>
      <c r="IE480" s="1"/>
      <c r="IF480" s="1"/>
      <c r="IG480" s="1"/>
      <c r="IH480" s="1"/>
      <c r="II480" s="1"/>
      <c r="IJ480" s="1"/>
      <c r="IK480" s="1"/>
      <c r="IL480" s="1"/>
      <c r="IM480" s="1"/>
      <c r="IN480" s="1"/>
      <c r="IO480" s="1"/>
      <c r="IP480" s="1"/>
      <c r="IQ480" s="1"/>
      <c r="IR480" s="1"/>
      <c r="IS480" s="1"/>
      <c r="IT480" s="1"/>
      <c r="IU480" s="1"/>
    </row>
    <row r="481" spans="14:255" s="30" customFormat="1" ht="12.95" customHeight="1" x14ac:dyDescent="0.2">
      <c r="N481" s="31"/>
      <c r="IB481" s="1"/>
      <c r="IC481" s="1"/>
      <c r="ID481" s="1"/>
      <c r="IE481" s="1"/>
      <c r="IF481" s="1"/>
      <c r="IG481" s="1"/>
      <c r="IH481" s="1"/>
      <c r="II481" s="1"/>
      <c r="IJ481" s="1"/>
      <c r="IK481" s="1"/>
      <c r="IL481" s="1"/>
      <c r="IM481" s="1"/>
      <c r="IN481" s="1"/>
      <c r="IO481" s="1"/>
      <c r="IP481" s="1"/>
      <c r="IQ481" s="1"/>
      <c r="IR481" s="1"/>
      <c r="IS481" s="1"/>
      <c r="IT481" s="1"/>
      <c r="IU481" s="1"/>
    </row>
    <row r="482" spans="14:255" s="30" customFormat="1" ht="12.95" customHeight="1" x14ac:dyDescent="0.2">
      <c r="N482" s="31"/>
      <c r="IB482" s="1"/>
      <c r="IC482" s="1"/>
      <c r="ID482" s="1"/>
      <c r="IE482" s="1"/>
      <c r="IF482" s="1"/>
      <c r="IG482" s="1"/>
      <c r="IH482" s="1"/>
      <c r="II482" s="1"/>
      <c r="IJ482" s="1"/>
      <c r="IK482" s="1"/>
      <c r="IL482" s="1"/>
      <c r="IM482" s="1"/>
      <c r="IN482" s="1"/>
      <c r="IO482" s="1"/>
      <c r="IP482" s="1"/>
      <c r="IQ482" s="1"/>
      <c r="IR482" s="1"/>
      <c r="IS482" s="1"/>
      <c r="IT482" s="1"/>
      <c r="IU482" s="1"/>
    </row>
    <row r="483" spans="14:255" s="30" customFormat="1" ht="12.95" customHeight="1" x14ac:dyDescent="0.2">
      <c r="N483" s="31"/>
      <c r="IB483" s="1"/>
      <c r="IC483" s="1"/>
      <c r="ID483" s="1"/>
      <c r="IE483" s="1"/>
      <c r="IF483" s="1"/>
      <c r="IG483" s="1"/>
      <c r="IH483" s="1"/>
      <c r="II483" s="1"/>
      <c r="IJ483" s="1"/>
      <c r="IK483" s="1"/>
      <c r="IL483" s="1"/>
      <c r="IM483" s="1"/>
      <c r="IN483" s="1"/>
      <c r="IO483" s="1"/>
      <c r="IP483" s="1"/>
      <c r="IQ483" s="1"/>
      <c r="IR483" s="1"/>
      <c r="IS483" s="1"/>
      <c r="IT483" s="1"/>
      <c r="IU483" s="1"/>
    </row>
    <row r="484" spans="14:255" s="30" customFormat="1" ht="12.95" customHeight="1" x14ac:dyDescent="0.2">
      <c r="N484" s="31"/>
      <c r="IB484" s="1"/>
      <c r="IC484" s="1"/>
      <c r="ID484" s="1"/>
      <c r="IE484" s="1"/>
      <c r="IF484" s="1"/>
      <c r="IG484" s="1"/>
      <c r="IH484" s="1"/>
      <c r="II484" s="1"/>
      <c r="IJ484" s="1"/>
      <c r="IK484" s="1"/>
      <c r="IL484" s="1"/>
      <c r="IM484" s="1"/>
      <c r="IN484" s="1"/>
      <c r="IO484" s="1"/>
      <c r="IP484" s="1"/>
      <c r="IQ484" s="1"/>
      <c r="IR484" s="1"/>
      <c r="IS484" s="1"/>
      <c r="IT484" s="1"/>
      <c r="IU484" s="1"/>
    </row>
    <row r="485" spans="14:255" s="30" customFormat="1" ht="12.95" customHeight="1" x14ac:dyDescent="0.2">
      <c r="N485" s="31"/>
      <c r="IB485" s="1"/>
      <c r="IC485" s="1"/>
      <c r="ID485" s="1"/>
      <c r="IE485" s="1"/>
      <c r="IF485" s="1"/>
      <c r="IG485" s="1"/>
      <c r="IH485" s="1"/>
      <c r="II485" s="1"/>
      <c r="IJ485" s="1"/>
      <c r="IK485" s="1"/>
      <c r="IL485" s="1"/>
      <c r="IM485" s="1"/>
      <c r="IN485" s="1"/>
      <c r="IO485" s="1"/>
      <c r="IP485" s="1"/>
      <c r="IQ485" s="1"/>
      <c r="IR485" s="1"/>
      <c r="IS485" s="1"/>
      <c r="IT485" s="1"/>
      <c r="IU485" s="1"/>
    </row>
    <row r="486" spans="14:255" s="30" customFormat="1" ht="12.95" customHeight="1" x14ac:dyDescent="0.2">
      <c r="N486" s="31"/>
      <c r="IB486" s="1"/>
      <c r="IC486" s="1"/>
      <c r="ID486" s="1"/>
      <c r="IE486" s="1"/>
      <c r="IF486" s="1"/>
      <c r="IG486" s="1"/>
      <c r="IH486" s="1"/>
      <c r="II486" s="1"/>
      <c r="IJ486" s="1"/>
      <c r="IK486" s="1"/>
      <c r="IL486" s="1"/>
      <c r="IM486" s="1"/>
      <c r="IN486" s="1"/>
      <c r="IO486" s="1"/>
      <c r="IP486" s="1"/>
      <c r="IQ486" s="1"/>
      <c r="IR486" s="1"/>
      <c r="IS486" s="1"/>
      <c r="IT486" s="1"/>
      <c r="IU486" s="1"/>
    </row>
    <row r="487" spans="14:255" s="30" customFormat="1" ht="12.95" customHeight="1" x14ac:dyDescent="0.2">
      <c r="N487" s="31"/>
      <c r="IB487" s="1"/>
      <c r="IC487" s="1"/>
      <c r="ID487" s="1"/>
      <c r="IE487" s="1"/>
      <c r="IF487" s="1"/>
      <c r="IG487" s="1"/>
      <c r="IH487" s="1"/>
      <c r="II487" s="1"/>
      <c r="IJ487" s="1"/>
      <c r="IK487" s="1"/>
      <c r="IL487" s="1"/>
      <c r="IM487" s="1"/>
      <c r="IN487" s="1"/>
      <c r="IO487" s="1"/>
      <c r="IP487" s="1"/>
      <c r="IQ487" s="1"/>
      <c r="IR487" s="1"/>
      <c r="IS487" s="1"/>
      <c r="IT487" s="1"/>
      <c r="IU487" s="1"/>
    </row>
    <row r="488" spans="14:255" s="30" customFormat="1" ht="12.95" customHeight="1" x14ac:dyDescent="0.2">
      <c r="N488" s="31"/>
      <c r="IB488" s="1"/>
      <c r="IC488" s="1"/>
      <c r="ID488" s="1"/>
      <c r="IE488" s="1"/>
      <c r="IF488" s="1"/>
      <c r="IG488" s="1"/>
      <c r="IH488" s="1"/>
      <c r="II488" s="1"/>
      <c r="IJ488" s="1"/>
      <c r="IK488" s="1"/>
      <c r="IL488" s="1"/>
      <c r="IM488" s="1"/>
      <c r="IN488" s="1"/>
      <c r="IO488" s="1"/>
      <c r="IP488" s="1"/>
      <c r="IQ488" s="1"/>
      <c r="IR488" s="1"/>
      <c r="IS488" s="1"/>
      <c r="IT488" s="1"/>
      <c r="IU488" s="1"/>
    </row>
    <row r="489" spans="14:255" s="30" customFormat="1" ht="12.95" customHeight="1" x14ac:dyDescent="0.2">
      <c r="N489" s="31"/>
      <c r="IB489" s="1"/>
      <c r="IC489" s="1"/>
      <c r="ID489" s="1"/>
      <c r="IE489" s="1"/>
      <c r="IF489" s="1"/>
      <c r="IG489" s="1"/>
      <c r="IH489" s="1"/>
      <c r="II489" s="1"/>
      <c r="IJ489" s="1"/>
      <c r="IK489" s="1"/>
      <c r="IL489" s="1"/>
      <c r="IM489" s="1"/>
      <c r="IN489" s="1"/>
      <c r="IO489" s="1"/>
      <c r="IP489" s="1"/>
      <c r="IQ489" s="1"/>
      <c r="IR489" s="1"/>
      <c r="IS489" s="1"/>
      <c r="IT489" s="1"/>
      <c r="IU489" s="1"/>
    </row>
    <row r="490" spans="14:255" s="30" customFormat="1" ht="12.95" customHeight="1" x14ac:dyDescent="0.2">
      <c r="N490" s="31"/>
      <c r="IB490" s="1"/>
      <c r="IC490" s="1"/>
      <c r="ID490" s="1"/>
      <c r="IE490" s="1"/>
      <c r="IF490" s="1"/>
      <c r="IG490" s="1"/>
      <c r="IH490" s="1"/>
      <c r="II490" s="1"/>
      <c r="IJ490" s="1"/>
      <c r="IK490" s="1"/>
      <c r="IL490" s="1"/>
      <c r="IM490" s="1"/>
      <c r="IN490" s="1"/>
      <c r="IO490" s="1"/>
      <c r="IP490" s="1"/>
      <c r="IQ490" s="1"/>
      <c r="IR490" s="1"/>
      <c r="IS490" s="1"/>
      <c r="IT490" s="1"/>
      <c r="IU490" s="1"/>
    </row>
    <row r="491" spans="14:255" s="30" customFormat="1" ht="12.95" customHeight="1" x14ac:dyDescent="0.2">
      <c r="N491" s="31"/>
      <c r="IB491" s="1"/>
      <c r="IC491" s="1"/>
      <c r="ID491" s="1"/>
      <c r="IE491" s="1"/>
      <c r="IF491" s="1"/>
      <c r="IG491" s="1"/>
      <c r="IH491" s="1"/>
      <c r="II491" s="1"/>
      <c r="IJ491" s="1"/>
      <c r="IK491" s="1"/>
      <c r="IL491" s="1"/>
      <c r="IM491" s="1"/>
      <c r="IN491" s="1"/>
      <c r="IO491" s="1"/>
      <c r="IP491" s="1"/>
      <c r="IQ491" s="1"/>
      <c r="IR491" s="1"/>
      <c r="IS491" s="1"/>
      <c r="IT491" s="1"/>
      <c r="IU491" s="1"/>
    </row>
    <row r="492" spans="14:255" s="30" customFormat="1" ht="12.95" customHeight="1" x14ac:dyDescent="0.2">
      <c r="N492" s="31"/>
      <c r="IB492" s="1"/>
      <c r="IC492" s="1"/>
      <c r="ID492" s="1"/>
      <c r="IE492" s="1"/>
      <c r="IF492" s="1"/>
      <c r="IG492" s="1"/>
      <c r="IH492" s="1"/>
      <c r="II492" s="1"/>
      <c r="IJ492" s="1"/>
      <c r="IK492" s="1"/>
      <c r="IL492" s="1"/>
      <c r="IM492" s="1"/>
      <c r="IN492" s="1"/>
      <c r="IO492" s="1"/>
      <c r="IP492" s="1"/>
      <c r="IQ492" s="1"/>
      <c r="IR492" s="1"/>
      <c r="IS492" s="1"/>
      <c r="IT492" s="1"/>
      <c r="IU492" s="1"/>
    </row>
    <row r="493" spans="14:255" s="30" customFormat="1" ht="12.95" customHeight="1" x14ac:dyDescent="0.2">
      <c r="N493" s="31"/>
      <c r="IB493" s="1"/>
      <c r="IC493" s="1"/>
      <c r="ID493" s="1"/>
      <c r="IE493" s="1"/>
      <c r="IF493" s="1"/>
      <c r="IG493" s="1"/>
      <c r="IH493" s="1"/>
      <c r="II493" s="1"/>
      <c r="IJ493" s="1"/>
      <c r="IK493" s="1"/>
      <c r="IL493" s="1"/>
      <c r="IM493" s="1"/>
      <c r="IN493" s="1"/>
      <c r="IO493" s="1"/>
      <c r="IP493" s="1"/>
      <c r="IQ493" s="1"/>
      <c r="IR493" s="1"/>
      <c r="IS493" s="1"/>
      <c r="IT493" s="1"/>
      <c r="IU493" s="1"/>
    </row>
    <row r="494" spans="14:255" s="30" customFormat="1" ht="12.95" customHeight="1" x14ac:dyDescent="0.2">
      <c r="N494" s="31"/>
      <c r="IB494" s="1"/>
      <c r="IC494" s="1"/>
      <c r="ID494" s="1"/>
      <c r="IE494" s="1"/>
      <c r="IF494" s="1"/>
      <c r="IG494" s="1"/>
      <c r="IH494" s="1"/>
      <c r="II494" s="1"/>
      <c r="IJ494" s="1"/>
      <c r="IK494" s="1"/>
      <c r="IL494" s="1"/>
      <c r="IM494" s="1"/>
      <c r="IN494" s="1"/>
      <c r="IO494" s="1"/>
      <c r="IP494" s="1"/>
      <c r="IQ494" s="1"/>
      <c r="IR494" s="1"/>
      <c r="IS494" s="1"/>
      <c r="IT494" s="1"/>
      <c r="IU494" s="1"/>
    </row>
    <row r="495" spans="14:255" s="30" customFormat="1" ht="12.95" customHeight="1" x14ac:dyDescent="0.2">
      <c r="N495" s="31"/>
      <c r="IB495" s="1"/>
      <c r="IC495" s="1"/>
      <c r="ID495" s="1"/>
      <c r="IE495" s="1"/>
      <c r="IF495" s="1"/>
      <c r="IG495" s="1"/>
      <c r="IH495" s="1"/>
      <c r="II495" s="1"/>
      <c r="IJ495" s="1"/>
      <c r="IK495" s="1"/>
      <c r="IL495" s="1"/>
      <c r="IM495" s="1"/>
      <c r="IN495" s="1"/>
      <c r="IO495" s="1"/>
      <c r="IP495" s="1"/>
      <c r="IQ495" s="1"/>
      <c r="IR495" s="1"/>
      <c r="IS495" s="1"/>
      <c r="IT495" s="1"/>
      <c r="IU495" s="1"/>
    </row>
    <row r="496" spans="14:255" s="30" customFormat="1" ht="12.95" customHeight="1" x14ac:dyDescent="0.2">
      <c r="N496" s="31"/>
      <c r="IB496" s="1"/>
      <c r="IC496" s="1"/>
      <c r="ID496" s="1"/>
      <c r="IE496" s="1"/>
      <c r="IF496" s="1"/>
      <c r="IG496" s="1"/>
      <c r="IH496" s="1"/>
      <c r="II496" s="1"/>
      <c r="IJ496" s="1"/>
      <c r="IK496" s="1"/>
      <c r="IL496" s="1"/>
      <c r="IM496" s="1"/>
      <c r="IN496" s="1"/>
      <c r="IO496" s="1"/>
      <c r="IP496" s="1"/>
      <c r="IQ496" s="1"/>
      <c r="IR496" s="1"/>
      <c r="IS496" s="1"/>
      <c r="IT496" s="1"/>
      <c r="IU496" s="1"/>
    </row>
    <row r="497" spans="14:255" s="30" customFormat="1" ht="12.95" customHeight="1" x14ac:dyDescent="0.2">
      <c r="N497" s="31"/>
      <c r="IB497" s="1"/>
      <c r="IC497" s="1"/>
      <c r="ID497" s="1"/>
      <c r="IE497" s="1"/>
      <c r="IF497" s="1"/>
      <c r="IG497" s="1"/>
      <c r="IH497" s="1"/>
      <c r="II497" s="1"/>
      <c r="IJ497" s="1"/>
      <c r="IK497" s="1"/>
      <c r="IL497" s="1"/>
      <c r="IM497" s="1"/>
      <c r="IN497" s="1"/>
      <c r="IO497" s="1"/>
      <c r="IP497" s="1"/>
      <c r="IQ497" s="1"/>
      <c r="IR497" s="1"/>
      <c r="IS497" s="1"/>
      <c r="IT497" s="1"/>
      <c r="IU497" s="1"/>
    </row>
    <row r="498" spans="14:255" s="30" customFormat="1" ht="12.95" customHeight="1" x14ac:dyDescent="0.2">
      <c r="N498" s="31"/>
      <c r="IB498" s="1"/>
      <c r="IC498" s="1"/>
      <c r="ID498" s="1"/>
      <c r="IE498" s="1"/>
      <c r="IF498" s="1"/>
      <c r="IG498" s="1"/>
      <c r="IH498" s="1"/>
      <c r="II498" s="1"/>
      <c r="IJ498" s="1"/>
      <c r="IK498" s="1"/>
      <c r="IL498" s="1"/>
      <c r="IM498" s="1"/>
      <c r="IN498" s="1"/>
      <c r="IO498" s="1"/>
      <c r="IP498" s="1"/>
      <c r="IQ498" s="1"/>
      <c r="IR498" s="1"/>
      <c r="IS498" s="1"/>
      <c r="IT498" s="1"/>
      <c r="IU498" s="1"/>
    </row>
    <row r="499" spans="14:255" s="30" customFormat="1" ht="12.95" customHeight="1" x14ac:dyDescent="0.2">
      <c r="N499" s="31"/>
      <c r="IB499" s="1"/>
      <c r="IC499" s="1"/>
      <c r="ID499" s="1"/>
      <c r="IE499" s="1"/>
      <c r="IF499" s="1"/>
      <c r="IG499" s="1"/>
      <c r="IH499" s="1"/>
      <c r="II499" s="1"/>
      <c r="IJ499" s="1"/>
      <c r="IK499" s="1"/>
      <c r="IL499" s="1"/>
      <c r="IM499" s="1"/>
      <c r="IN499" s="1"/>
      <c r="IO499" s="1"/>
      <c r="IP499" s="1"/>
      <c r="IQ499" s="1"/>
      <c r="IR499" s="1"/>
      <c r="IS499" s="1"/>
      <c r="IT499" s="1"/>
      <c r="IU499" s="1"/>
    </row>
    <row r="500" spans="14:255" s="30" customFormat="1" ht="12.95" customHeight="1" x14ac:dyDescent="0.2">
      <c r="N500" s="31"/>
      <c r="IB500" s="1"/>
      <c r="IC500" s="1"/>
      <c r="ID500" s="1"/>
      <c r="IE500" s="1"/>
      <c r="IF500" s="1"/>
      <c r="IG500" s="1"/>
      <c r="IH500" s="1"/>
      <c r="II500" s="1"/>
      <c r="IJ500" s="1"/>
      <c r="IK500" s="1"/>
      <c r="IL500" s="1"/>
      <c r="IM500" s="1"/>
      <c r="IN500" s="1"/>
      <c r="IO500" s="1"/>
      <c r="IP500" s="1"/>
      <c r="IQ500" s="1"/>
      <c r="IR500" s="1"/>
      <c r="IS500" s="1"/>
      <c r="IT500" s="1"/>
      <c r="IU500" s="1"/>
    </row>
    <row r="501" spans="14:255" s="30" customFormat="1" ht="12.95" customHeight="1" x14ac:dyDescent="0.2">
      <c r="N501" s="31"/>
      <c r="IB501" s="1"/>
      <c r="IC501" s="1"/>
      <c r="ID501" s="1"/>
      <c r="IE501" s="1"/>
      <c r="IF501" s="1"/>
      <c r="IG501" s="1"/>
      <c r="IH501" s="1"/>
      <c r="II501" s="1"/>
      <c r="IJ501" s="1"/>
      <c r="IK501" s="1"/>
      <c r="IL501" s="1"/>
      <c r="IM501" s="1"/>
      <c r="IN501" s="1"/>
      <c r="IO501" s="1"/>
      <c r="IP501" s="1"/>
      <c r="IQ501" s="1"/>
      <c r="IR501" s="1"/>
      <c r="IS501" s="1"/>
      <c r="IT501" s="1"/>
      <c r="IU501" s="1"/>
    </row>
    <row r="502" spans="14:255" s="30" customFormat="1" ht="12.95" customHeight="1" x14ac:dyDescent="0.2">
      <c r="N502" s="31"/>
      <c r="IB502" s="1"/>
      <c r="IC502" s="1"/>
      <c r="ID502" s="1"/>
      <c r="IE502" s="1"/>
      <c r="IF502" s="1"/>
      <c r="IG502" s="1"/>
      <c r="IH502" s="1"/>
      <c r="II502" s="1"/>
      <c r="IJ502" s="1"/>
      <c r="IK502" s="1"/>
      <c r="IL502" s="1"/>
      <c r="IM502" s="1"/>
      <c r="IN502" s="1"/>
      <c r="IO502" s="1"/>
      <c r="IP502" s="1"/>
      <c r="IQ502" s="1"/>
      <c r="IR502" s="1"/>
      <c r="IS502" s="1"/>
      <c r="IT502" s="1"/>
      <c r="IU502" s="1"/>
    </row>
    <row r="503" spans="14:255" s="30" customFormat="1" ht="12.95" customHeight="1" x14ac:dyDescent="0.2">
      <c r="N503" s="31"/>
      <c r="IB503" s="1"/>
      <c r="IC503" s="1"/>
      <c r="ID503" s="1"/>
      <c r="IE503" s="1"/>
      <c r="IF503" s="1"/>
      <c r="IG503" s="1"/>
      <c r="IH503" s="1"/>
      <c r="II503" s="1"/>
      <c r="IJ503" s="1"/>
      <c r="IK503" s="1"/>
      <c r="IL503" s="1"/>
      <c r="IM503" s="1"/>
      <c r="IN503" s="1"/>
      <c r="IO503" s="1"/>
      <c r="IP503" s="1"/>
      <c r="IQ503" s="1"/>
      <c r="IR503" s="1"/>
      <c r="IS503" s="1"/>
      <c r="IT503" s="1"/>
      <c r="IU503" s="1"/>
    </row>
    <row r="504" spans="14:255" s="30" customFormat="1" ht="12.95" customHeight="1" x14ac:dyDescent="0.2">
      <c r="N504" s="31"/>
      <c r="IB504" s="1"/>
      <c r="IC504" s="1"/>
      <c r="ID504" s="1"/>
      <c r="IE504" s="1"/>
      <c r="IF504" s="1"/>
      <c r="IG504" s="1"/>
      <c r="IH504" s="1"/>
      <c r="II504" s="1"/>
      <c r="IJ504" s="1"/>
      <c r="IK504" s="1"/>
      <c r="IL504" s="1"/>
      <c r="IM504" s="1"/>
      <c r="IN504" s="1"/>
      <c r="IO504" s="1"/>
      <c r="IP504" s="1"/>
      <c r="IQ504" s="1"/>
      <c r="IR504" s="1"/>
      <c r="IS504" s="1"/>
      <c r="IT504" s="1"/>
      <c r="IU504" s="1"/>
    </row>
    <row r="505" spans="14:255" s="30" customFormat="1" ht="12.95" customHeight="1" x14ac:dyDescent="0.2">
      <c r="N505" s="31"/>
      <c r="IB505" s="1"/>
      <c r="IC505" s="1"/>
      <c r="ID505" s="1"/>
      <c r="IE505" s="1"/>
      <c r="IF505" s="1"/>
      <c r="IG505" s="1"/>
      <c r="IH505" s="1"/>
      <c r="II505" s="1"/>
      <c r="IJ505" s="1"/>
      <c r="IK505" s="1"/>
      <c r="IL505" s="1"/>
      <c r="IM505" s="1"/>
      <c r="IN505" s="1"/>
      <c r="IO505" s="1"/>
      <c r="IP505" s="1"/>
      <c r="IQ505" s="1"/>
      <c r="IR505" s="1"/>
      <c r="IS505" s="1"/>
      <c r="IT505" s="1"/>
      <c r="IU505" s="1"/>
    </row>
    <row r="506" spans="14:255" s="30" customFormat="1" ht="12.95" customHeight="1" x14ac:dyDescent="0.2">
      <c r="N506" s="31"/>
      <c r="IB506" s="1"/>
      <c r="IC506" s="1"/>
      <c r="ID506" s="1"/>
      <c r="IE506" s="1"/>
      <c r="IF506" s="1"/>
      <c r="IG506" s="1"/>
      <c r="IH506" s="1"/>
      <c r="II506" s="1"/>
      <c r="IJ506" s="1"/>
      <c r="IK506" s="1"/>
      <c r="IL506" s="1"/>
      <c r="IM506" s="1"/>
      <c r="IN506" s="1"/>
      <c r="IO506" s="1"/>
      <c r="IP506" s="1"/>
      <c r="IQ506" s="1"/>
      <c r="IR506" s="1"/>
      <c r="IS506" s="1"/>
      <c r="IT506" s="1"/>
      <c r="IU506" s="1"/>
    </row>
    <row r="507" spans="14:255" s="30" customFormat="1" ht="12.95" customHeight="1" x14ac:dyDescent="0.2">
      <c r="N507" s="31"/>
      <c r="IB507" s="1"/>
      <c r="IC507" s="1"/>
      <c r="ID507" s="1"/>
      <c r="IE507" s="1"/>
      <c r="IF507" s="1"/>
      <c r="IG507" s="1"/>
      <c r="IH507" s="1"/>
      <c r="II507" s="1"/>
      <c r="IJ507" s="1"/>
      <c r="IK507" s="1"/>
      <c r="IL507" s="1"/>
      <c r="IM507" s="1"/>
      <c r="IN507" s="1"/>
      <c r="IO507" s="1"/>
      <c r="IP507" s="1"/>
      <c r="IQ507" s="1"/>
      <c r="IR507" s="1"/>
      <c r="IS507" s="1"/>
      <c r="IT507" s="1"/>
      <c r="IU507" s="1"/>
    </row>
    <row r="508" spans="14:255" s="30" customFormat="1" ht="12.95" customHeight="1" x14ac:dyDescent="0.2">
      <c r="N508" s="31"/>
      <c r="IB508" s="1"/>
      <c r="IC508" s="1"/>
      <c r="ID508" s="1"/>
      <c r="IE508" s="1"/>
      <c r="IF508" s="1"/>
      <c r="IG508" s="1"/>
      <c r="IH508" s="1"/>
      <c r="II508" s="1"/>
      <c r="IJ508" s="1"/>
      <c r="IK508" s="1"/>
      <c r="IL508" s="1"/>
      <c r="IM508" s="1"/>
      <c r="IN508" s="1"/>
      <c r="IO508" s="1"/>
      <c r="IP508" s="1"/>
      <c r="IQ508" s="1"/>
      <c r="IR508" s="1"/>
      <c r="IS508" s="1"/>
      <c r="IT508" s="1"/>
      <c r="IU508" s="1"/>
    </row>
    <row r="509" spans="14:255" s="30" customFormat="1" ht="12.95" customHeight="1" x14ac:dyDescent="0.2">
      <c r="N509" s="31"/>
      <c r="IB509" s="1"/>
      <c r="IC509" s="1"/>
      <c r="ID509" s="1"/>
      <c r="IE509" s="1"/>
      <c r="IF509" s="1"/>
      <c r="IG509" s="1"/>
      <c r="IH509" s="1"/>
      <c r="II509" s="1"/>
      <c r="IJ509" s="1"/>
      <c r="IK509" s="1"/>
      <c r="IL509" s="1"/>
      <c r="IM509" s="1"/>
      <c r="IN509" s="1"/>
      <c r="IO509" s="1"/>
      <c r="IP509" s="1"/>
      <c r="IQ509" s="1"/>
      <c r="IR509" s="1"/>
      <c r="IS509" s="1"/>
      <c r="IT509" s="1"/>
      <c r="IU509" s="1"/>
    </row>
    <row r="510" spans="14:255" s="30" customFormat="1" ht="12.95" customHeight="1" x14ac:dyDescent="0.2">
      <c r="N510" s="31"/>
      <c r="IB510" s="1"/>
      <c r="IC510" s="1"/>
      <c r="ID510" s="1"/>
      <c r="IE510" s="1"/>
      <c r="IF510" s="1"/>
      <c r="IG510" s="1"/>
      <c r="IH510" s="1"/>
      <c r="II510" s="1"/>
      <c r="IJ510" s="1"/>
      <c r="IK510" s="1"/>
      <c r="IL510" s="1"/>
      <c r="IM510" s="1"/>
      <c r="IN510" s="1"/>
      <c r="IO510" s="1"/>
      <c r="IP510" s="1"/>
      <c r="IQ510" s="1"/>
      <c r="IR510" s="1"/>
      <c r="IS510" s="1"/>
      <c r="IT510" s="1"/>
      <c r="IU510" s="1"/>
    </row>
    <row r="511" spans="14:255" s="30" customFormat="1" ht="12.95" customHeight="1" x14ac:dyDescent="0.2">
      <c r="N511" s="31"/>
      <c r="IB511" s="1"/>
      <c r="IC511" s="1"/>
      <c r="ID511" s="1"/>
      <c r="IE511" s="1"/>
      <c r="IF511" s="1"/>
      <c r="IG511" s="1"/>
      <c r="IH511" s="1"/>
      <c r="II511" s="1"/>
      <c r="IJ511" s="1"/>
      <c r="IK511" s="1"/>
      <c r="IL511" s="1"/>
      <c r="IM511" s="1"/>
      <c r="IN511" s="1"/>
      <c r="IO511" s="1"/>
      <c r="IP511" s="1"/>
      <c r="IQ511" s="1"/>
      <c r="IR511" s="1"/>
      <c r="IS511" s="1"/>
      <c r="IT511" s="1"/>
      <c r="IU511" s="1"/>
    </row>
    <row r="512" spans="14:255" s="30" customFormat="1" ht="12.95" customHeight="1" x14ac:dyDescent="0.2">
      <c r="N512" s="31"/>
      <c r="IB512" s="1"/>
      <c r="IC512" s="1"/>
      <c r="ID512" s="1"/>
      <c r="IE512" s="1"/>
      <c r="IF512" s="1"/>
      <c r="IG512" s="1"/>
      <c r="IH512" s="1"/>
      <c r="II512" s="1"/>
      <c r="IJ512" s="1"/>
      <c r="IK512" s="1"/>
      <c r="IL512" s="1"/>
      <c r="IM512" s="1"/>
      <c r="IN512" s="1"/>
      <c r="IO512" s="1"/>
      <c r="IP512" s="1"/>
      <c r="IQ512" s="1"/>
      <c r="IR512" s="1"/>
      <c r="IS512" s="1"/>
      <c r="IT512" s="1"/>
      <c r="IU512" s="1"/>
    </row>
    <row r="513" spans="14:255" s="30" customFormat="1" ht="12.95" customHeight="1" x14ac:dyDescent="0.2">
      <c r="N513" s="31"/>
      <c r="IB513" s="1"/>
      <c r="IC513" s="1"/>
      <c r="ID513" s="1"/>
      <c r="IE513" s="1"/>
      <c r="IF513" s="1"/>
      <c r="IG513" s="1"/>
      <c r="IH513" s="1"/>
      <c r="II513" s="1"/>
      <c r="IJ513" s="1"/>
      <c r="IK513" s="1"/>
      <c r="IL513" s="1"/>
      <c r="IM513" s="1"/>
      <c r="IN513" s="1"/>
      <c r="IO513" s="1"/>
      <c r="IP513" s="1"/>
      <c r="IQ513" s="1"/>
      <c r="IR513" s="1"/>
      <c r="IS513" s="1"/>
      <c r="IT513" s="1"/>
      <c r="IU513" s="1"/>
    </row>
    <row r="514" spans="14:255" s="30" customFormat="1" ht="12.95" customHeight="1" x14ac:dyDescent="0.2">
      <c r="N514" s="31"/>
      <c r="IB514" s="1"/>
      <c r="IC514" s="1"/>
      <c r="ID514" s="1"/>
      <c r="IE514" s="1"/>
      <c r="IF514" s="1"/>
      <c r="IG514" s="1"/>
      <c r="IH514" s="1"/>
      <c r="II514" s="1"/>
      <c r="IJ514" s="1"/>
      <c r="IK514" s="1"/>
      <c r="IL514" s="1"/>
      <c r="IM514" s="1"/>
      <c r="IN514" s="1"/>
      <c r="IO514" s="1"/>
      <c r="IP514" s="1"/>
      <c r="IQ514" s="1"/>
      <c r="IR514" s="1"/>
      <c r="IS514" s="1"/>
      <c r="IT514" s="1"/>
      <c r="IU514" s="1"/>
    </row>
    <row r="515" spans="14:255" s="30" customFormat="1" ht="12.95" customHeight="1" x14ac:dyDescent="0.2">
      <c r="N515" s="31"/>
      <c r="IB515" s="1"/>
      <c r="IC515" s="1"/>
      <c r="ID515" s="1"/>
      <c r="IE515" s="1"/>
      <c r="IF515" s="1"/>
      <c r="IG515" s="1"/>
      <c r="IH515" s="1"/>
      <c r="II515" s="1"/>
      <c r="IJ515" s="1"/>
      <c r="IK515" s="1"/>
      <c r="IL515" s="1"/>
      <c r="IM515" s="1"/>
      <c r="IN515" s="1"/>
      <c r="IO515" s="1"/>
      <c r="IP515" s="1"/>
      <c r="IQ515" s="1"/>
      <c r="IR515" s="1"/>
      <c r="IS515" s="1"/>
      <c r="IT515" s="1"/>
      <c r="IU515" s="1"/>
    </row>
    <row r="516" spans="14:255" s="30" customFormat="1" ht="12.95" customHeight="1" x14ac:dyDescent="0.2">
      <c r="N516" s="31"/>
      <c r="IB516" s="1"/>
      <c r="IC516" s="1"/>
      <c r="ID516" s="1"/>
      <c r="IE516" s="1"/>
      <c r="IF516" s="1"/>
      <c r="IG516" s="1"/>
      <c r="IH516" s="1"/>
      <c r="II516" s="1"/>
      <c r="IJ516" s="1"/>
      <c r="IK516" s="1"/>
      <c r="IL516" s="1"/>
      <c r="IM516" s="1"/>
      <c r="IN516" s="1"/>
      <c r="IO516" s="1"/>
      <c r="IP516" s="1"/>
      <c r="IQ516" s="1"/>
      <c r="IR516" s="1"/>
      <c r="IS516" s="1"/>
      <c r="IT516" s="1"/>
      <c r="IU516" s="1"/>
    </row>
    <row r="517" spans="14:255" s="30" customFormat="1" ht="12.95" customHeight="1" x14ac:dyDescent="0.2">
      <c r="N517" s="31"/>
      <c r="IB517" s="1"/>
      <c r="IC517" s="1"/>
      <c r="ID517" s="1"/>
      <c r="IE517" s="1"/>
      <c r="IF517" s="1"/>
      <c r="IG517" s="1"/>
      <c r="IH517" s="1"/>
      <c r="II517" s="1"/>
      <c r="IJ517" s="1"/>
      <c r="IK517" s="1"/>
      <c r="IL517" s="1"/>
      <c r="IM517" s="1"/>
      <c r="IN517" s="1"/>
      <c r="IO517" s="1"/>
      <c r="IP517" s="1"/>
      <c r="IQ517" s="1"/>
      <c r="IR517" s="1"/>
      <c r="IS517" s="1"/>
      <c r="IT517" s="1"/>
      <c r="IU517" s="1"/>
    </row>
    <row r="518" spans="14:255" s="30" customFormat="1" ht="12.95" customHeight="1" x14ac:dyDescent="0.2">
      <c r="N518" s="31"/>
      <c r="IB518" s="1"/>
      <c r="IC518" s="1"/>
      <c r="ID518" s="1"/>
      <c r="IE518" s="1"/>
      <c r="IF518" s="1"/>
      <c r="IG518" s="1"/>
      <c r="IH518" s="1"/>
      <c r="II518" s="1"/>
      <c r="IJ518" s="1"/>
      <c r="IK518" s="1"/>
      <c r="IL518" s="1"/>
      <c r="IM518" s="1"/>
      <c r="IN518" s="1"/>
      <c r="IO518" s="1"/>
      <c r="IP518" s="1"/>
      <c r="IQ518" s="1"/>
      <c r="IR518" s="1"/>
      <c r="IS518" s="1"/>
      <c r="IT518" s="1"/>
      <c r="IU518" s="1"/>
    </row>
    <row r="519" spans="14:255" s="30" customFormat="1" ht="12.95" customHeight="1" x14ac:dyDescent="0.2">
      <c r="N519" s="31"/>
      <c r="IB519" s="1"/>
      <c r="IC519" s="1"/>
      <c r="ID519" s="1"/>
      <c r="IE519" s="1"/>
      <c r="IF519" s="1"/>
      <c r="IG519" s="1"/>
      <c r="IH519" s="1"/>
      <c r="II519" s="1"/>
      <c r="IJ519" s="1"/>
      <c r="IK519" s="1"/>
      <c r="IL519" s="1"/>
      <c r="IM519" s="1"/>
      <c r="IN519" s="1"/>
      <c r="IO519" s="1"/>
      <c r="IP519" s="1"/>
      <c r="IQ519" s="1"/>
      <c r="IR519" s="1"/>
      <c r="IS519" s="1"/>
      <c r="IT519" s="1"/>
      <c r="IU519" s="1"/>
    </row>
    <row r="520" spans="14:255" s="30" customFormat="1" ht="12.95" customHeight="1" x14ac:dyDescent="0.2">
      <c r="N520" s="31"/>
      <c r="IB520" s="1"/>
      <c r="IC520" s="1"/>
      <c r="ID520" s="1"/>
      <c r="IE520" s="1"/>
      <c r="IF520" s="1"/>
      <c r="IG520" s="1"/>
      <c r="IH520" s="1"/>
      <c r="II520" s="1"/>
      <c r="IJ520" s="1"/>
      <c r="IK520" s="1"/>
      <c r="IL520" s="1"/>
      <c r="IM520" s="1"/>
      <c r="IN520" s="1"/>
      <c r="IO520" s="1"/>
      <c r="IP520" s="1"/>
      <c r="IQ520" s="1"/>
      <c r="IR520" s="1"/>
      <c r="IS520" s="1"/>
      <c r="IT520" s="1"/>
      <c r="IU520" s="1"/>
    </row>
    <row r="521" spans="14:255" s="30" customFormat="1" ht="12.95" customHeight="1" x14ac:dyDescent="0.2">
      <c r="N521" s="31"/>
      <c r="IB521" s="1"/>
      <c r="IC521" s="1"/>
      <c r="ID521" s="1"/>
      <c r="IE521" s="1"/>
      <c r="IF521" s="1"/>
      <c r="IG521" s="1"/>
      <c r="IH521" s="1"/>
      <c r="II521" s="1"/>
      <c r="IJ521" s="1"/>
      <c r="IK521" s="1"/>
      <c r="IL521" s="1"/>
      <c r="IM521" s="1"/>
      <c r="IN521" s="1"/>
      <c r="IO521" s="1"/>
      <c r="IP521" s="1"/>
      <c r="IQ521" s="1"/>
      <c r="IR521" s="1"/>
      <c r="IS521" s="1"/>
      <c r="IT521" s="1"/>
      <c r="IU521" s="1"/>
    </row>
    <row r="522" spans="14:255" s="30" customFormat="1" ht="12.95" customHeight="1" x14ac:dyDescent="0.2">
      <c r="N522" s="31"/>
      <c r="IB522" s="1"/>
      <c r="IC522" s="1"/>
      <c r="ID522" s="1"/>
      <c r="IE522" s="1"/>
      <c r="IF522" s="1"/>
      <c r="IG522" s="1"/>
      <c r="IH522" s="1"/>
      <c r="II522" s="1"/>
      <c r="IJ522" s="1"/>
      <c r="IK522" s="1"/>
      <c r="IL522" s="1"/>
      <c r="IM522" s="1"/>
      <c r="IN522" s="1"/>
      <c r="IO522" s="1"/>
      <c r="IP522" s="1"/>
      <c r="IQ522" s="1"/>
      <c r="IR522" s="1"/>
      <c r="IS522" s="1"/>
      <c r="IT522" s="1"/>
      <c r="IU522" s="1"/>
    </row>
    <row r="523" spans="14:255" s="30" customFormat="1" ht="12.95" customHeight="1" x14ac:dyDescent="0.2">
      <c r="N523" s="31"/>
      <c r="IB523" s="1"/>
      <c r="IC523" s="1"/>
      <c r="ID523" s="1"/>
      <c r="IE523" s="1"/>
      <c r="IF523" s="1"/>
      <c r="IG523" s="1"/>
      <c r="IH523" s="1"/>
      <c r="II523" s="1"/>
      <c r="IJ523" s="1"/>
      <c r="IK523" s="1"/>
      <c r="IL523" s="1"/>
      <c r="IM523" s="1"/>
      <c r="IN523" s="1"/>
      <c r="IO523" s="1"/>
      <c r="IP523" s="1"/>
      <c r="IQ523" s="1"/>
      <c r="IR523" s="1"/>
      <c r="IS523" s="1"/>
      <c r="IT523" s="1"/>
      <c r="IU523" s="1"/>
    </row>
    <row r="524" spans="14:255" s="30" customFormat="1" ht="12.95" customHeight="1" x14ac:dyDescent="0.2">
      <c r="N524" s="31"/>
      <c r="IB524" s="1"/>
      <c r="IC524" s="1"/>
      <c r="ID524" s="1"/>
      <c r="IE524" s="1"/>
      <c r="IF524" s="1"/>
      <c r="IG524" s="1"/>
      <c r="IH524" s="1"/>
      <c r="II524" s="1"/>
      <c r="IJ524" s="1"/>
      <c r="IK524" s="1"/>
      <c r="IL524" s="1"/>
      <c r="IM524" s="1"/>
      <c r="IN524" s="1"/>
      <c r="IO524" s="1"/>
      <c r="IP524" s="1"/>
      <c r="IQ524" s="1"/>
      <c r="IR524" s="1"/>
      <c r="IS524" s="1"/>
      <c r="IT524" s="1"/>
      <c r="IU524" s="1"/>
    </row>
    <row r="525" spans="14:255" s="30" customFormat="1" ht="12.95" customHeight="1" x14ac:dyDescent="0.2">
      <c r="N525" s="31"/>
      <c r="IB525" s="1"/>
      <c r="IC525" s="1"/>
      <c r="ID525" s="1"/>
      <c r="IE525" s="1"/>
      <c r="IF525" s="1"/>
      <c r="IG525" s="1"/>
      <c r="IH525" s="1"/>
      <c r="II525" s="1"/>
      <c r="IJ525" s="1"/>
      <c r="IK525" s="1"/>
      <c r="IL525" s="1"/>
      <c r="IM525" s="1"/>
      <c r="IN525" s="1"/>
      <c r="IO525" s="1"/>
      <c r="IP525" s="1"/>
      <c r="IQ525" s="1"/>
      <c r="IR525" s="1"/>
      <c r="IS525" s="1"/>
      <c r="IT525" s="1"/>
      <c r="IU525" s="1"/>
    </row>
    <row r="526" spans="14:255" s="30" customFormat="1" ht="12.95" customHeight="1" x14ac:dyDescent="0.2">
      <c r="N526" s="31"/>
      <c r="IB526" s="1"/>
      <c r="IC526" s="1"/>
      <c r="ID526" s="1"/>
      <c r="IE526" s="1"/>
      <c r="IF526" s="1"/>
      <c r="IG526" s="1"/>
      <c r="IH526" s="1"/>
      <c r="II526" s="1"/>
      <c r="IJ526" s="1"/>
      <c r="IK526" s="1"/>
      <c r="IL526" s="1"/>
      <c r="IM526" s="1"/>
      <c r="IN526" s="1"/>
      <c r="IO526" s="1"/>
      <c r="IP526" s="1"/>
      <c r="IQ526" s="1"/>
      <c r="IR526" s="1"/>
      <c r="IS526" s="1"/>
      <c r="IT526" s="1"/>
      <c r="IU526" s="1"/>
    </row>
    <row r="527" spans="14:255" s="30" customFormat="1" ht="12.95" customHeight="1" x14ac:dyDescent="0.2">
      <c r="N527" s="31"/>
      <c r="IB527" s="1"/>
      <c r="IC527" s="1"/>
      <c r="ID527" s="1"/>
      <c r="IE527" s="1"/>
      <c r="IF527" s="1"/>
      <c r="IG527" s="1"/>
      <c r="IH527" s="1"/>
      <c r="II527" s="1"/>
      <c r="IJ527" s="1"/>
      <c r="IK527" s="1"/>
      <c r="IL527" s="1"/>
      <c r="IM527" s="1"/>
      <c r="IN527" s="1"/>
      <c r="IO527" s="1"/>
      <c r="IP527" s="1"/>
      <c r="IQ527" s="1"/>
      <c r="IR527" s="1"/>
      <c r="IS527" s="1"/>
      <c r="IT527" s="1"/>
      <c r="IU527" s="1"/>
    </row>
    <row r="528" spans="14:255" s="30" customFormat="1" ht="12.95" customHeight="1" x14ac:dyDescent="0.2">
      <c r="N528" s="31"/>
      <c r="IB528" s="1"/>
      <c r="IC528" s="1"/>
      <c r="ID528" s="1"/>
      <c r="IE528" s="1"/>
      <c r="IF528" s="1"/>
      <c r="IG528" s="1"/>
      <c r="IH528" s="1"/>
      <c r="II528" s="1"/>
      <c r="IJ528" s="1"/>
      <c r="IK528" s="1"/>
      <c r="IL528" s="1"/>
      <c r="IM528" s="1"/>
      <c r="IN528" s="1"/>
      <c r="IO528" s="1"/>
      <c r="IP528" s="1"/>
      <c r="IQ528" s="1"/>
      <c r="IR528" s="1"/>
      <c r="IS528" s="1"/>
      <c r="IT528" s="1"/>
      <c r="IU528" s="1"/>
    </row>
    <row r="529" spans="14:255" s="30" customFormat="1" ht="12.95" customHeight="1" x14ac:dyDescent="0.2">
      <c r="N529" s="31"/>
      <c r="IB529" s="1"/>
      <c r="IC529" s="1"/>
      <c r="ID529" s="1"/>
      <c r="IE529" s="1"/>
      <c r="IF529" s="1"/>
      <c r="IG529" s="1"/>
      <c r="IH529" s="1"/>
      <c r="II529" s="1"/>
      <c r="IJ529" s="1"/>
      <c r="IK529" s="1"/>
      <c r="IL529" s="1"/>
      <c r="IM529" s="1"/>
      <c r="IN529" s="1"/>
      <c r="IO529" s="1"/>
      <c r="IP529" s="1"/>
      <c r="IQ529" s="1"/>
      <c r="IR529" s="1"/>
      <c r="IS529" s="1"/>
      <c r="IT529" s="1"/>
      <c r="IU529" s="1"/>
    </row>
    <row r="530" spans="14:255" s="30" customFormat="1" ht="12.95" customHeight="1" x14ac:dyDescent="0.2">
      <c r="N530" s="31"/>
      <c r="IB530" s="1"/>
      <c r="IC530" s="1"/>
      <c r="ID530" s="1"/>
      <c r="IE530" s="1"/>
      <c r="IF530" s="1"/>
      <c r="IG530" s="1"/>
      <c r="IH530" s="1"/>
      <c r="II530" s="1"/>
      <c r="IJ530" s="1"/>
      <c r="IK530" s="1"/>
      <c r="IL530" s="1"/>
      <c r="IM530" s="1"/>
      <c r="IN530" s="1"/>
      <c r="IO530" s="1"/>
      <c r="IP530" s="1"/>
      <c r="IQ530" s="1"/>
      <c r="IR530" s="1"/>
      <c r="IS530" s="1"/>
      <c r="IT530" s="1"/>
      <c r="IU530" s="1"/>
    </row>
    <row r="531" spans="14:255" s="30" customFormat="1" ht="12.95" customHeight="1" x14ac:dyDescent="0.2">
      <c r="N531" s="31"/>
      <c r="IB531" s="1"/>
      <c r="IC531" s="1"/>
      <c r="ID531" s="1"/>
      <c r="IE531" s="1"/>
      <c r="IF531" s="1"/>
      <c r="IG531" s="1"/>
      <c r="IH531" s="1"/>
      <c r="II531" s="1"/>
      <c r="IJ531" s="1"/>
      <c r="IK531" s="1"/>
      <c r="IL531" s="1"/>
      <c r="IM531" s="1"/>
      <c r="IN531" s="1"/>
      <c r="IO531" s="1"/>
      <c r="IP531" s="1"/>
      <c r="IQ531" s="1"/>
      <c r="IR531" s="1"/>
      <c r="IS531" s="1"/>
      <c r="IT531" s="1"/>
      <c r="IU531" s="1"/>
    </row>
    <row r="532" spans="14:255" s="30" customFormat="1" ht="12.95" customHeight="1" x14ac:dyDescent="0.2">
      <c r="N532" s="31"/>
      <c r="IB532" s="1"/>
      <c r="IC532" s="1"/>
      <c r="ID532" s="1"/>
      <c r="IE532" s="1"/>
      <c r="IF532" s="1"/>
      <c r="IG532" s="1"/>
      <c r="IH532" s="1"/>
      <c r="II532" s="1"/>
      <c r="IJ532" s="1"/>
      <c r="IK532" s="1"/>
      <c r="IL532" s="1"/>
      <c r="IM532" s="1"/>
      <c r="IN532" s="1"/>
      <c r="IO532" s="1"/>
      <c r="IP532" s="1"/>
      <c r="IQ532" s="1"/>
      <c r="IR532" s="1"/>
      <c r="IS532" s="1"/>
      <c r="IT532" s="1"/>
      <c r="IU532" s="1"/>
    </row>
    <row r="533" spans="14:255" s="30" customFormat="1" ht="12.95" customHeight="1" x14ac:dyDescent="0.2">
      <c r="N533" s="31"/>
      <c r="IB533" s="1"/>
      <c r="IC533" s="1"/>
      <c r="ID533" s="1"/>
      <c r="IE533" s="1"/>
      <c r="IF533" s="1"/>
      <c r="IG533" s="1"/>
      <c r="IH533" s="1"/>
      <c r="II533" s="1"/>
      <c r="IJ533" s="1"/>
      <c r="IK533" s="1"/>
      <c r="IL533" s="1"/>
      <c r="IM533" s="1"/>
      <c r="IN533" s="1"/>
      <c r="IO533" s="1"/>
      <c r="IP533" s="1"/>
      <c r="IQ533" s="1"/>
      <c r="IR533" s="1"/>
      <c r="IS533" s="1"/>
      <c r="IT533" s="1"/>
      <c r="IU533" s="1"/>
    </row>
    <row r="534" spans="14:255" s="30" customFormat="1" ht="12.95" customHeight="1" x14ac:dyDescent="0.2">
      <c r="N534" s="31"/>
      <c r="IB534" s="1"/>
      <c r="IC534" s="1"/>
      <c r="ID534" s="1"/>
      <c r="IE534" s="1"/>
      <c r="IF534" s="1"/>
      <c r="IG534" s="1"/>
      <c r="IH534" s="1"/>
      <c r="II534" s="1"/>
      <c r="IJ534" s="1"/>
      <c r="IK534" s="1"/>
      <c r="IL534" s="1"/>
      <c r="IM534" s="1"/>
      <c r="IN534" s="1"/>
      <c r="IO534" s="1"/>
      <c r="IP534" s="1"/>
      <c r="IQ534" s="1"/>
      <c r="IR534" s="1"/>
      <c r="IS534" s="1"/>
      <c r="IT534" s="1"/>
      <c r="IU534" s="1"/>
    </row>
    <row r="535" spans="14:255" s="30" customFormat="1" ht="12.95" customHeight="1" x14ac:dyDescent="0.2">
      <c r="N535" s="31"/>
      <c r="IB535" s="1"/>
      <c r="IC535" s="1"/>
      <c r="ID535" s="1"/>
      <c r="IE535" s="1"/>
      <c r="IF535" s="1"/>
      <c r="IG535" s="1"/>
      <c r="IH535" s="1"/>
      <c r="II535" s="1"/>
      <c r="IJ535" s="1"/>
      <c r="IK535" s="1"/>
      <c r="IL535" s="1"/>
      <c r="IM535" s="1"/>
      <c r="IN535" s="1"/>
      <c r="IO535" s="1"/>
      <c r="IP535" s="1"/>
      <c r="IQ535" s="1"/>
      <c r="IR535" s="1"/>
      <c r="IS535" s="1"/>
      <c r="IT535" s="1"/>
      <c r="IU535" s="1"/>
    </row>
    <row r="536" spans="14:255" s="30" customFormat="1" ht="12.95" customHeight="1" x14ac:dyDescent="0.2">
      <c r="N536" s="31"/>
      <c r="IB536" s="1"/>
      <c r="IC536" s="1"/>
      <c r="ID536" s="1"/>
      <c r="IE536" s="1"/>
      <c r="IF536" s="1"/>
      <c r="IG536" s="1"/>
      <c r="IH536" s="1"/>
      <c r="II536" s="1"/>
      <c r="IJ536" s="1"/>
      <c r="IK536" s="1"/>
      <c r="IL536" s="1"/>
      <c r="IM536" s="1"/>
      <c r="IN536" s="1"/>
      <c r="IO536" s="1"/>
      <c r="IP536" s="1"/>
      <c r="IQ536" s="1"/>
      <c r="IR536" s="1"/>
      <c r="IS536" s="1"/>
      <c r="IT536" s="1"/>
      <c r="IU536" s="1"/>
    </row>
    <row r="537" spans="14:255" s="30" customFormat="1" ht="12.95" customHeight="1" x14ac:dyDescent="0.2">
      <c r="N537" s="31"/>
      <c r="IB537" s="1"/>
      <c r="IC537" s="1"/>
      <c r="ID537" s="1"/>
      <c r="IE537" s="1"/>
      <c r="IF537" s="1"/>
      <c r="IG537" s="1"/>
      <c r="IH537" s="1"/>
      <c r="II537" s="1"/>
      <c r="IJ537" s="1"/>
      <c r="IK537" s="1"/>
      <c r="IL537" s="1"/>
      <c r="IM537" s="1"/>
      <c r="IN537" s="1"/>
      <c r="IO537" s="1"/>
      <c r="IP537" s="1"/>
      <c r="IQ537" s="1"/>
      <c r="IR537" s="1"/>
      <c r="IS537" s="1"/>
      <c r="IT537" s="1"/>
      <c r="IU537" s="1"/>
    </row>
    <row r="538" spans="14:255" s="30" customFormat="1" ht="12.95" customHeight="1" x14ac:dyDescent="0.2">
      <c r="N538" s="31"/>
      <c r="IB538" s="1"/>
      <c r="IC538" s="1"/>
      <c r="ID538" s="1"/>
      <c r="IE538" s="1"/>
      <c r="IF538" s="1"/>
      <c r="IG538" s="1"/>
      <c r="IH538" s="1"/>
      <c r="II538" s="1"/>
      <c r="IJ538" s="1"/>
      <c r="IK538" s="1"/>
      <c r="IL538" s="1"/>
      <c r="IM538" s="1"/>
      <c r="IN538" s="1"/>
      <c r="IO538" s="1"/>
      <c r="IP538" s="1"/>
      <c r="IQ538" s="1"/>
      <c r="IR538" s="1"/>
      <c r="IS538" s="1"/>
      <c r="IT538" s="1"/>
      <c r="IU538" s="1"/>
    </row>
    <row r="539" spans="14:255" s="30" customFormat="1" ht="12.95" customHeight="1" x14ac:dyDescent="0.2">
      <c r="N539" s="31"/>
      <c r="IB539" s="1"/>
      <c r="IC539" s="1"/>
      <c r="ID539" s="1"/>
      <c r="IE539" s="1"/>
      <c r="IF539" s="1"/>
      <c r="IG539" s="1"/>
      <c r="IH539" s="1"/>
      <c r="II539" s="1"/>
      <c r="IJ539" s="1"/>
      <c r="IK539" s="1"/>
      <c r="IL539" s="1"/>
      <c r="IM539" s="1"/>
      <c r="IN539" s="1"/>
      <c r="IO539" s="1"/>
      <c r="IP539" s="1"/>
      <c r="IQ539" s="1"/>
      <c r="IR539" s="1"/>
      <c r="IS539" s="1"/>
      <c r="IT539" s="1"/>
      <c r="IU539" s="1"/>
    </row>
    <row r="540" spans="14:255" s="30" customFormat="1" ht="12.95" customHeight="1" x14ac:dyDescent="0.2">
      <c r="N540" s="31"/>
      <c r="IB540" s="1"/>
      <c r="IC540" s="1"/>
      <c r="ID540" s="1"/>
      <c r="IE540" s="1"/>
      <c r="IF540" s="1"/>
      <c r="IG540" s="1"/>
      <c r="IH540" s="1"/>
      <c r="II540" s="1"/>
      <c r="IJ540" s="1"/>
      <c r="IK540" s="1"/>
      <c r="IL540" s="1"/>
      <c r="IM540" s="1"/>
      <c r="IN540" s="1"/>
      <c r="IO540" s="1"/>
      <c r="IP540" s="1"/>
      <c r="IQ540" s="1"/>
      <c r="IR540" s="1"/>
      <c r="IS540" s="1"/>
      <c r="IT540" s="1"/>
      <c r="IU540" s="1"/>
    </row>
    <row r="541" spans="14:255" s="30" customFormat="1" ht="12.95" customHeight="1" x14ac:dyDescent="0.2">
      <c r="N541" s="31"/>
      <c r="IB541" s="1"/>
      <c r="IC541" s="1"/>
      <c r="ID541" s="1"/>
      <c r="IE541" s="1"/>
      <c r="IF541" s="1"/>
      <c r="IG541" s="1"/>
      <c r="IH541" s="1"/>
      <c r="II541" s="1"/>
      <c r="IJ541" s="1"/>
      <c r="IK541" s="1"/>
      <c r="IL541" s="1"/>
      <c r="IM541" s="1"/>
      <c r="IN541" s="1"/>
      <c r="IO541" s="1"/>
      <c r="IP541" s="1"/>
      <c r="IQ541" s="1"/>
      <c r="IR541" s="1"/>
      <c r="IS541" s="1"/>
      <c r="IT541" s="1"/>
      <c r="IU541" s="1"/>
    </row>
    <row r="542" spans="14:255" s="30" customFormat="1" ht="12.95" customHeight="1" x14ac:dyDescent="0.2">
      <c r="N542" s="31"/>
      <c r="IB542" s="1"/>
      <c r="IC542" s="1"/>
      <c r="ID542" s="1"/>
      <c r="IE542" s="1"/>
      <c r="IF542" s="1"/>
      <c r="IG542" s="1"/>
      <c r="IH542" s="1"/>
      <c r="II542" s="1"/>
      <c r="IJ542" s="1"/>
      <c r="IK542" s="1"/>
      <c r="IL542" s="1"/>
      <c r="IM542" s="1"/>
      <c r="IN542" s="1"/>
      <c r="IO542" s="1"/>
      <c r="IP542" s="1"/>
      <c r="IQ542" s="1"/>
      <c r="IR542" s="1"/>
      <c r="IS542" s="1"/>
      <c r="IT542" s="1"/>
      <c r="IU542" s="1"/>
    </row>
    <row r="543" spans="14:255" s="30" customFormat="1" ht="12.95" customHeight="1" x14ac:dyDescent="0.2">
      <c r="N543" s="31"/>
      <c r="IB543" s="1"/>
      <c r="IC543" s="1"/>
      <c r="ID543" s="1"/>
      <c r="IE543" s="1"/>
      <c r="IF543" s="1"/>
      <c r="IG543" s="1"/>
      <c r="IH543" s="1"/>
      <c r="II543" s="1"/>
      <c r="IJ543" s="1"/>
      <c r="IK543" s="1"/>
      <c r="IL543" s="1"/>
      <c r="IM543" s="1"/>
      <c r="IN543" s="1"/>
      <c r="IO543" s="1"/>
      <c r="IP543" s="1"/>
      <c r="IQ543" s="1"/>
      <c r="IR543" s="1"/>
      <c r="IS543" s="1"/>
      <c r="IT543" s="1"/>
      <c r="IU543" s="1"/>
    </row>
    <row r="544" spans="14:255" s="30" customFormat="1" ht="12.95" customHeight="1" x14ac:dyDescent="0.2">
      <c r="N544" s="31"/>
      <c r="IB544" s="1"/>
      <c r="IC544" s="1"/>
      <c r="ID544" s="1"/>
      <c r="IE544" s="1"/>
      <c r="IF544" s="1"/>
      <c r="IG544" s="1"/>
      <c r="IH544" s="1"/>
      <c r="II544" s="1"/>
      <c r="IJ544" s="1"/>
      <c r="IK544" s="1"/>
      <c r="IL544" s="1"/>
      <c r="IM544" s="1"/>
      <c r="IN544" s="1"/>
      <c r="IO544" s="1"/>
      <c r="IP544" s="1"/>
      <c r="IQ544" s="1"/>
      <c r="IR544" s="1"/>
      <c r="IS544" s="1"/>
      <c r="IT544" s="1"/>
      <c r="IU544" s="1"/>
    </row>
    <row r="545" spans="14:255" s="30" customFormat="1" ht="12.95" customHeight="1" x14ac:dyDescent="0.2">
      <c r="N545" s="31"/>
      <c r="IB545" s="1"/>
      <c r="IC545" s="1"/>
      <c r="ID545" s="1"/>
      <c r="IE545" s="1"/>
      <c r="IF545" s="1"/>
      <c r="IG545" s="1"/>
      <c r="IH545" s="1"/>
      <c r="II545" s="1"/>
      <c r="IJ545" s="1"/>
      <c r="IK545" s="1"/>
      <c r="IL545" s="1"/>
      <c r="IM545" s="1"/>
      <c r="IN545" s="1"/>
      <c r="IO545" s="1"/>
      <c r="IP545" s="1"/>
      <c r="IQ545" s="1"/>
      <c r="IR545" s="1"/>
      <c r="IS545" s="1"/>
      <c r="IT545" s="1"/>
      <c r="IU545" s="1"/>
    </row>
    <row r="546" spans="14:255" s="30" customFormat="1" ht="12.95" customHeight="1" x14ac:dyDescent="0.2">
      <c r="N546" s="31"/>
      <c r="IB546" s="1"/>
      <c r="IC546" s="1"/>
      <c r="ID546" s="1"/>
      <c r="IE546" s="1"/>
      <c r="IF546" s="1"/>
      <c r="IG546" s="1"/>
      <c r="IH546" s="1"/>
      <c r="II546" s="1"/>
      <c r="IJ546" s="1"/>
      <c r="IK546" s="1"/>
      <c r="IL546" s="1"/>
      <c r="IM546" s="1"/>
      <c r="IN546" s="1"/>
      <c r="IO546" s="1"/>
      <c r="IP546" s="1"/>
      <c r="IQ546" s="1"/>
      <c r="IR546" s="1"/>
      <c r="IS546" s="1"/>
      <c r="IT546" s="1"/>
      <c r="IU546" s="1"/>
    </row>
    <row r="547" spans="14:255" s="30" customFormat="1" ht="12.95" customHeight="1" x14ac:dyDescent="0.2">
      <c r="N547" s="31"/>
      <c r="IB547" s="1"/>
      <c r="IC547" s="1"/>
      <c r="ID547" s="1"/>
      <c r="IE547" s="1"/>
      <c r="IF547" s="1"/>
      <c r="IG547" s="1"/>
      <c r="IH547" s="1"/>
      <c r="II547" s="1"/>
      <c r="IJ547" s="1"/>
      <c r="IK547" s="1"/>
      <c r="IL547" s="1"/>
      <c r="IM547" s="1"/>
      <c r="IN547" s="1"/>
      <c r="IO547" s="1"/>
      <c r="IP547" s="1"/>
      <c r="IQ547" s="1"/>
      <c r="IR547" s="1"/>
      <c r="IS547" s="1"/>
      <c r="IT547" s="1"/>
      <c r="IU547" s="1"/>
    </row>
    <row r="548" spans="14:255" s="30" customFormat="1" ht="12.95" customHeight="1" x14ac:dyDescent="0.2">
      <c r="N548" s="31"/>
      <c r="IB548" s="1"/>
      <c r="IC548" s="1"/>
      <c r="ID548" s="1"/>
      <c r="IE548" s="1"/>
      <c r="IF548" s="1"/>
      <c r="IG548" s="1"/>
      <c r="IH548" s="1"/>
      <c r="II548" s="1"/>
      <c r="IJ548" s="1"/>
      <c r="IK548" s="1"/>
      <c r="IL548" s="1"/>
      <c r="IM548" s="1"/>
      <c r="IN548" s="1"/>
      <c r="IO548" s="1"/>
      <c r="IP548" s="1"/>
      <c r="IQ548" s="1"/>
      <c r="IR548" s="1"/>
      <c r="IS548" s="1"/>
      <c r="IT548" s="1"/>
      <c r="IU548" s="1"/>
    </row>
    <row r="549" spans="14:255" s="30" customFormat="1" ht="12.95" customHeight="1" x14ac:dyDescent="0.2">
      <c r="N549" s="31"/>
      <c r="IB549" s="1"/>
      <c r="IC549" s="1"/>
      <c r="ID549" s="1"/>
      <c r="IE549" s="1"/>
      <c r="IF549" s="1"/>
      <c r="IG549" s="1"/>
      <c r="IH549" s="1"/>
      <c r="II549" s="1"/>
      <c r="IJ549" s="1"/>
      <c r="IK549" s="1"/>
      <c r="IL549" s="1"/>
      <c r="IM549" s="1"/>
      <c r="IN549" s="1"/>
      <c r="IO549" s="1"/>
      <c r="IP549" s="1"/>
      <c r="IQ549" s="1"/>
      <c r="IR549" s="1"/>
      <c r="IS549" s="1"/>
      <c r="IT549" s="1"/>
      <c r="IU549" s="1"/>
    </row>
    <row r="550" spans="14:255" s="30" customFormat="1" ht="12.95" customHeight="1" x14ac:dyDescent="0.2">
      <c r="N550" s="31"/>
      <c r="IB550" s="1"/>
      <c r="IC550" s="1"/>
      <c r="ID550" s="1"/>
      <c r="IE550" s="1"/>
      <c r="IF550" s="1"/>
      <c r="IG550" s="1"/>
      <c r="IH550" s="1"/>
      <c r="II550" s="1"/>
      <c r="IJ550" s="1"/>
      <c r="IK550" s="1"/>
      <c r="IL550" s="1"/>
      <c r="IM550" s="1"/>
      <c r="IN550" s="1"/>
      <c r="IO550" s="1"/>
      <c r="IP550" s="1"/>
      <c r="IQ550" s="1"/>
      <c r="IR550" s="1"/>
      <c r="IS550" s="1"/>
      <c r="IT550" s="1"/>
      <c r="IU550" s="1"/>
    </row>
    <row r="551" spans="14:255" s="30" customFormat="1" ht="12.95" customHeight="1" x14ac:dyDescent="0.2">
      <c r="N551" s="31"/>
      <c r="IB551" s="1"/>
      <c r="IC551" s="1"/>
      <c r="ID551" s="1"/>
      <c r="IE551" s="1"/>
      <c r="IF551" s="1"/>
      <c r="IG551" s="1"/>
      <c r="IH551" s="1"/>
      <c r="II551" s="1"/>
      <c r="IJ551" s="1"/>
      <c r="IK551" s="1"/>
      <c r="IL551" s="1"/>
      <c r="IM551" s="1"/>
      <c r="IN551" s="1"/>
      <c r="IO551" s="1"/>
      <c r="IP551" s="1"/>
      <c r="IQ551" s="1"/>
      <c r="IR551" s="1"/>
      <c r="IS551" s="1"/>
      <c r="IT551" s="1"/>
      <c r="IU551" s="1"/>
    </row>
    <row r="552" spans="14:255" s="30" customFormat="1" ht="12.95" customHeight="1" x14ac:dyDescent="0.2">
      <c r="N552" s="31"/>
      <c r="IB552" s="1"/>
      <c r="IC552" s="1"/>
      <c r="ID552" s="1"/>
      <c r="IE552" s="1"/>
      <c r="IF552" s="1"/>
      <c r="IG552" s="1"/>
      <c r="IH552" s="1"/>
      <c r="II552" s="1"/>
      <c r="IJ552" s="1"/>
      <c r="IK552" s="1"/>
      <c r="IL552" s="1"/>
      <c r="IM552" s="1"/>
      <c r="IN552" s="1"/>
      <c r="IO552" s="1"/>
      <c r="IP552" s="1"/>
      <c r="IQ552" s="1"/>
      <c r="IR552" s="1"/>
      <c r="IS552" s="1"/>
      <c r="IT552" s="1"/>
      <c r="IU552" s="1"/>
    </row>
    <row r="553" spans="14:255" s="30" customFormat="1" ht="12.95" customHeight="1" x14ac:dyDescent="0.2">
      <c r="N553" s="31"/>
      <c r="IB553" s="1"/>
      <c r="IC553" s="1"/>
      <c r="ID553" s="1"/>
      <c r="IE553" s="1"/>
      <c r="IF553" s="1"/>
      <c r="IG553" s="1"/>
      <c r="IH553" s="1"/>
      <c r="II553" s="1"/>
      <c r="IJ553" s="1"/>
      <c r="IK553" s="1"/>
      <c r="IL553" s="1"/>
      <c r="IM553" s="1"/>
      <c r="IN553" s="1"/>
      <c r="IO553" s="1"/>
      <c r="IP553" s="1"/>
      <c r="IQ553" s="1"/>
      <c r="IR553" s="1"/>
      <c r="IS553" s="1"/>
      <c r="IT553" s="1"/>
      <c r="IU553" s="1"/>
    </row>
    <row r="554" spans="14:255" s="30" customFormat="1" ht="12.95" customHeight="1" x14ac:dyDescent="0.2">
      <c r="N554" s="31"/>
      <c r="IB554" s="1"/>
      <c r="IC554" s="1"/>
      <c r="ID554" s="1"/>
      <c r="IE554" s="1"/>
      <c r="IF554" s="1"/>
      <c r="IG554" s="1"/>
      <c r="IH554" s="1"/>
      <c r="II554" s="1"/>
      <c r="IJ554" s="1"/>
      <c r="IK554" s="1"/>
      <c r="IL554" s="1"/>
      <c r="IM554" s="1"/>
      <c r="IN554" s="1"/>
      <c r="IO554" s="1"/>
      <c r="IP554" s="1"/>
      <c r="IQ554" s="1"/>
      <c r="IR554" s="1"/>
      <c r="IS554" s="1"/>
      <c r="IT554" s="1"/>
      <c r="IU554" s="1"/>
    </row>
    <row r="555" spans="14:255" s="30" customFormat="1" ht="12.95" customHeight="1" x14ac:dyDescent="0.2">
      <c r="N555" s="31"/>
      <c r="IB555" s="1"/>
      <c r="IC555" s="1"/>
      <c r="ID555" s="1"/>
      <c r="IE555" s="1"/>
      <c r="IF555" s="1"/>
      <c r="IG555" s="1"/>
      <c r="IH555" s="1"/>
      <c r="II555" s="1"/>
      <c r="IJ555" s="1"/>
      <c r="IK555" s="1"/>
      <c r="IL555" s="1"/>
      <c r="IM555" s="1"/>
      <c r="IN555" s="1"/>
      <c r="IO555" s="1"/>
      <c r="IP555" s="1"/>
      <c r="IQ555" s="1"/>
      <c r="IR555" s="1"/>
      <c r="IS555" s="1"/>
      <c r="IT555" s="1"/>
      <c r="IU555" s="1"/>
    </row>
    <row r="556" spans="14:255" s="30" customFormat="1" ht="12.95" customHeight="1" x14ac:dyDescent="0.2">
      <c r="N556" s="31"/>
      <c r="IB556" s="1"/>
      <c r="IC556" s="1"/>
      <c r="ID556" s="1"/>
      <c r="IE556" s="1"/>
      <c r="IF556" s="1"/>
      <c r="IG556" s="1"/>
      <c r="IH556" s="1"/>
      <c r="II556" s="1"/>
      <c r="IJ556" s="1"/>
      <c r="IK556" s="1"/>
      <c r="IL556" s="1"/>
      <c r="IM556" s="1"/>
      <c r="IN556" s="1"/>
      <c r="IO556" s="1"/>
      <c r="IP556" s="1"/>
      <c r="IQ556" s="1"/>
      <c r="IR556" s="1"/>
      <c r="IS556" s="1"/>
      <c r="IT556" s="1"/>
      <c r="IU556" s="1"/>
    </row>
    <row r="557" spans="14:255" s="30" customFormat="1" ht="12.95" customHeight="1" x14ac:dyDescent="0.2">
      <c r="N557" s="31"/>
      <c r="IB557" s="1"/>
      <c r="IC557" s="1"/>
      <c r="ID557" s="1"/>
      <c r="IE557" s="1"/>
      <c r="IF557" s="1"/>
      <c r="IG557" s="1"/>
      <c r="IH557" s="1"/>
      <c r="II557" s="1"/>
      <c r="IJ557" s="1"/>
      <c r="IK557" s="1"/>
      <c r="IL557" s="1"/>
      <c r="IM557" s="1"/>
      <c r="IN557" s="1"/>
      <c r="IO557" s="1"/>
      <c r="IP557" s="1"/>
      <c r="IQ557" s="1"/>
      <c r="IR557" s="1"/>
      <c r="IS557" s="1"/>
      <c r="IT557" s="1"/>
      <c r="IU557" s="1"/>
    </row>
    <row r="558" spans="14:255" s="30" customFormat="1" ht="12.95" customHeight="1" x14ac:dyDescent="0.2">
      <c r="N558" s="31"/>
      <c r="IB558" s="1"/>
      <c r="IC558" s="1"/>
      <c r="ID558" s="1"/>
      <c r="IE558" s="1"/>
      <c r="IF558" s="1"/>
      <c r="IG558" s="1"/>
      <c r="IH558" s="1"/>
      <c r="II558" s="1"/>
      <c r="IJ558" s="1"/>
      <c r="IK558" s="1"/>
      <c r="IL558" s="1"/>
      <c r="IM558" s="1"/>
      <c r="IN558" s="1"/>
      <c r="IO558" s="1"/>
      <c r="IP558" s="1"/>
      <c r="IQ558" s="1"/>
      <c r="IR558" s="1"/>
      <c r="IS558" s="1"/>
      <c r="IT558" s="1"/>
      <c r="IU558" s="1"/>
    </row>
    <row r="559" spans="14:255" s="30" customFormat="1" ht="12.95" customHeight="1" x14ac:dyDescent="0.2">
      <c r="N559" s="31"/>
      <c r="IB559" s="1"/>
      <c r="IC559" s="1"/>
      <c r="ID559" s="1"/>
      <c r="IE559" s="1"/>
      <c r="IF559" s="1"/>
      <c r="IG559" s="1"/>
      <c r="IH559" s="1"/>
      <c r="II559" s="1"/>
      <c r="IJ559" s="1"/>
      <c r="IK559" s="1"/>
      <c r="IL559" s="1"/>
      <c r="IM559" s="1"/>
      <c r="IN559" s="1"/>
      <c r="IO559" s="1"/>
      <c r="IP559" s="1"/>
      <c r="IQ559" s="1"/>
      <c r="IR559" s="1"/>
      <c r="IS559" s="1"/>
      <c r="IT559" s="1"/>
      <c r="IU559" s="1"/>
    </row>
    <row r="560" spans="14:255" s="30" customFormat="1" ht="12.95" customHeight="1" x14ac:dyDescent="0.2">
      <c r="N560" s="31"/>
      <c r="IB560" s="1"/>
      <c r="IC560" s="1"/>
      <c r="ID560" s="1"/>
      <c r="IE560" s="1"/>
      <c r="IF560" s="1"/>
      <c r="IG560" s="1"/>
      <c r="IH560" s="1"/>
      <c r="II560" s="1"/>
      <c r="IJ560" s="1"/>
      <c r="IK560" s="1"/>
      <c r="IL560" s="1"/>
      <c r="IM560" s="1"/>
      <c r="IN560" s="1"/>
      <c r="IO560" s="1"/>
      <c r="IP560" s="1"/>
      <c r="IQ560" s="1"/>
      <c r="IR560" s="1"/>
      <c r="IS560" s="1"/>
      <c r="IT560" s="1"/>
      <c r="IU560" s="1"/>
    </row>
    <row r="561" spans="14:255" s="30" customFormat="1" ht="12.95" customHeight="1" x14ac:dyDescent="0.2">
      <c r="N561" s="31"/>
      <c r="IB561" s="1"/>
      <c r="IC561" s="1"/>
      <c r="ID561" s="1"/>
      <c r="IE561" s="1"/>
      <c r="IF561" s="1"/>
      <c r="IG561" s="1"/>
      <c r="IH561" s="1"/>
      <c r="II561" s="1"/>
      <c r="IJ561" s="1"/>
      <c r="IK561" s="1"/>
      <c r="IL561" s="1"/>
      <c r="IM561" s="1"/>
      <c r="IN561" s="1"/>
      <c r="IO561" s="1"/>
      <c r="IP561" s="1"/>
      <c r="IQ561" s="1"/>
      <c r="IR561" s="1"/>
      <c r="IS561" s="1"/>
      <c r="IT561" s="1"/>
      <c r="IU561" s="1"/>
    </row>
    <row r="562" spans="14:255" s="30" customFormat="1" ht="12.95" customHeight="1" x14ac:dyDescent="0.2">
      <c r="N562" s="31"/>
      <c r="IB562" s="1"/>
      <c r="IC562" s="1"/>
      <c r="ID562" s="1"/>
      <c r="IE562" s="1"/>
      <c r="IF562" s="1"/>
      <c r="IG562" s="1"/>
      <c r="IH562" s="1"/>
      <c r="II562" s="1"/>
      <c r="IJ562" s="1"/>
      <c r="IK562" s="1"/>
      <c r="IL562" s="1"/>
      <c r="IM562" s="1"/>
      <c r="IN562" s="1"/>
      <c r="IO562" s="1"/>
      <c r="IP562" s="1"/>
      <c r="IQ562" s="1"/>
      <c r="IR562" s="1"/>
      <c r="IS562" s="1"/>
      <c r="IT562" s="1"/>
      <c r="IU562" s="1"/>
    </row>
    <row r="563" spans="14:255" s="30" customFormat="1" ht="12.95" customHeight="1" x14ac:dyDescent="0.2">
      <c r="N563" s="31"/>
      <c r="IB563" s="1"/>
      <c r="IC563" s="1"/>
      <c r="ID563" s="1"/>
      <c r="IE563" s="1"/>
      <c r="IF563" s="1"/>
      <c r="IG563" s="1"/>
      <c r="IH563" s="1"/>
      <c r="II563" s="1"/>
      <c r="IJ563" s="1"/>
      <c r="IK563" s="1"/>
      <c r="IL563" s="1"/>
      <c r="IM563" s="1"/>
      <c r="IN563" s="1"/>
      <c r="IO563" s="1"/>
      <c r="IP563" s="1"/>
      <c r="IQ563" s="1"/>
      <c r="IR563" s="1"/>
      <c r="IS563" s="1"/>
      <c r="IT563" s="1"/>
      <c r="IU563" s="1"/>
    </row>
    <row r="564" spans="14:255" s="30" customFormat="1" ht="12.95" customHeight="1" x14ac:dyDescent="0.2">
      <c r="N564" s="31"/>
      <c r="IB564" s="1"/>
      <c r="IC564" s="1"/>
      <c r="ID564" s="1"/>
      <c r="IE564" s="1"/>
      <c r="IF564" s="1"/>
      <c r="IG564" s="1"/>
      <c r="IH564" s="1"/>
      <c r="II564" s="1"/>
      <c r="IJ564" s="1"/>
      <c r="IK564" s="1"/>
      <c r="IL564" s="1"/>
      <c r="IM564" s="1"/>
      <c r="IN564" s="1"/>
      <c r="IO564" s="1"/>
      <c r="IP564" s="1"/>
      <c r="IQ564" s="1"/>
      <c r="IR564" s="1"/>
      <c r="IS564" s="1"/>
      <c r="IT564" s="1"/>
      <c r="IU564" s="1"/>
    </row>
    <row r="565" spans="14:255" s="30" customFormat="1" ht="12.95" customHeight="1" x14ac:dyDescent="0.2">
      <c r="N565" s="31"/>
      <c r="IB565" s="1"/>
      <c r="IC565" s="1"/>
      <c r="ID565" s="1"/>
      <c r="IE565" s="1"/>
      <c r="IF565" s="1"/>
      <c r="IG565" s="1"/>
      <c r="IH565" s="1"/>
      <c r="II565" s="1"/>
      <c r="IJ565" s="1"/>
      <c r="IK565" s="1"/>
      <c r="IL565" s="1"/>
      <c r="IM565" s="1"/>
      <c r="IN565" s="1"/>
      <c r="IO565" s="1"/>
      <c r="IP565" s="1"/>
      <c r="IQ565" s="1"/>
      <c r="IR565" s="1"/>
      <c r="IS565" s="1"/>
      <c r="IT565" s="1"/>
      <c r="IU565" s="1"/>
    </row>
    <row r="566" spans="14:255" s="30" customFormat="1" ht="12.95" customHeight="1" x14ac:dyDescent="0.2">
      <c r="N566" s="31"/>
      <c r="IB566" s="1"/>
      <c r="IC566" s="1"/>
      <c r="ID566" s="1"/>
      <c r="IE566" s="1"/>
      <c r="IF566" s="1"/>
      <c r="IG566" s="1"/>
      <c r="IH566" s="1"/>
      <c r="II566" s="1"/>
      <c r="IJ566" s="1"/>
      <c r="IK566" s="1"/>
      <c r="IL566" s="1"/>
      <c r="IM566" s="1"/>
      <c r="IN566" s="1"/>
      <c r="IO566" s="1"/>
      <c r="IP566" s="1"/>
      <c r="IQ566" s="1"/>
      <c r="IR566" s="1"/>
      <c r="IS566" s="1"/>
      <c r="IT566" s="1"/>
      <c r="IU566" s="1"/>
    </row>
    <row r="567" spans="14:255" s="30" customFormat="1" ht="12.95" customHeight="1" x14ac:dyDescent="0.2">
      <c r="N567" s="31"/>
      <c r="IB567" s="1"/>
      <c r="IC567" s="1"/>
      <c r="ID567" s="1"/>
      <c r="IE567" s="1"/>
      <c r="IF567" s="1"/>
      <c r="IG567" s="1"/>
      <c r="IH567" s="1"/>
      <c r="II567" s="1"/>
      <c r="IJ567" s="1"/>
      <c r="IK567" s="1"/>
      <c r="IL567" s="1"/>
      <c r="IM567" s="1"/>
      <c r="IN567" s="1"/>
      <c r="IO567" s="1"/>
      <c r="IP567" s="1"/>
      <c r="IQ567" s="1"/>
      <c r="IR567" s="1"/>
      <c r="IS567" s="1"/>
      <c r="IT567" s="1"/>
      <c r="IU567" s="1"/>
    </row>
    <row r="568" spans="14:255" s="30" customFormat="1" ht="12.95" customHeight="1" x14ac:dyDescent="0.2">
      <c r="N568" s="31"/>
      <c r="IB568" s="1"/>
      <c r="IC568" s="1"/>
      <c r="ID568" s="1"/>
      <c r="IE568" s="1"/>
      <c r="IF568" s="1"/>
      <c r="IG568" s="1"/>
      <c r="IH568" s="1"/>
      <c r="II568" s="1"/>
      <c r="IJ568" s="1"/>
      <c r="IK568" s="1"/>
      <c r="IL568" s="1"/>
      <c r="IM568" s="1"/>
      <c r="IN568" s="1"/>
      <c r="IO568" s="1"/>
      <c r="IP568" s="1"/>
      <c r="IQ568" s="1"/>
      <c r="IR568" s="1"/>
      <c r="IS568" s="1"/>
      <c r="IT568" s="1"/>
      <c r="IU568" s="1"/>
    </row>
    <row r="569" spans="14:255" s="30" customFormat="1" ht="12.95" customHeight="1" x14ac:dyDescent="0.2">
      <c r="N569" s="31"/>
      <c r="IB569" s="1"/>
      <c r="IC569" s="1"/>
      <c r="ID569" s="1"/>
      <c r="IE569" s="1"/>
      <c r="IF569" s="1"/>
      <c r="IG569" s="1"/>
      <c r="IH569" s="1"/>
      <c r="II569" s="1"/>
      <c r="IJ569" s="1"/>
      <c r="IK569" s="1"/>
      <c r="IL569" s="1"/>
      <c r="IM569" s="1"/>
      <c r="IN569" s="1"/>
      <c r="IO569" s="1"/>
      <c r="IP569" s="1"/>
      <c r="IQ569" s="1"/>
      <c r="IR569" s="1"/>
      <c r="IS569" s="1"/>
      <c r="IT569" s="1"/>
      <c r="IU569" s="1"/>
    </row>
    <row r="570" spans="14:255" s="30" customFormat="1" ht="12.95" customHeight="1" x14ac:dyDescent="0.2">
      <c r="N570" s="31"/>
      <c r="IB570" s="1"/>
      <c r="IC570" s="1"/>
      <c r="ID570" s="1"/>
      <c r="IE570" s="1"/>
      <c r="IF570" s="1"/>
      <c r="IG570" s="1"/>
      <c r="IH570" s="1"/>
      <c r="II570" s="1"/>
      <c r="IJ570" s="1"/>
      <c r="IK570" s="1"/>
      <c r="IL570" s="1"/>
      <c r="IM570" s="1"/>
      <c r="IN570" s="1"/>
      <c r="IO570" s="1"/>
      <c r="IP570" s="1"/>
      <c r="IQ570" s="1"/>
      <c r="IR570" s="1"/>
      <c r="IS570" s="1"/>
      <c r="IT570" s="1"/>
      <c r="IU570" s="1"/>
    </row>
    <row r="571" spans="14:255" s="30" customFormat="1" ht="12.95" customHeight="1" x14ac:dyDescent="0.2">
      <c r="N571" s="31"/>
      <c r="IB571" s="1"/>
      <c r="IC571" s="1"/>
      <c r="ID571" s="1"/>
      <c r="IE571" s="1"/>
      <c r="IF571" s="1"/>
      <c r="IG571" s="1"/>
      <c r="IH571" s="1"/>
      <c r="II571" s="1"/>
      <c r="IJ571" s="1"/>
      <c r="IK571" s="1"/>
      <c r="IL571" s="1"/>
      <c r="IM571" s="1"/>
      <c r="IN571" s="1"/>
      <c r="IO571" s="1"/>
      <c r="IP571" s="1"/>
      <c r="IQ571" s="1"/>
      <c r="IR571" s="1"/>
      <c r="IS571" s="1"/>
      <c r="IT571" s="1"/>
      <c r="IU571" s="1"/>
    </row>
    <row r="572" spans="14:255" s="30" customFormat="1" ht="12.95" customHeight="1" x14ac:dyDescent="0.2">
      <c r="N572" s="31"/>
      <c r="IB572" s="1"/>
      <c r="IC572" s="1"/>
      <c r="ID572" s="1"/>
      <c r="IE572" s="1"/>
      <c r="IF572" s="1"/>
      <c r="IG572" s="1"/>
      <c r="IH572" s="1"/>
      <c r="II572" s="1"/>
      <c r="IJ572" s="1"/>
      <c r="IK572" s="1"/>
      <c r="IL572" s="1"/>
      <c r="IM572" s="1"/>
      <c r="IN572" s="1"/>
      <c r="IO572" s="1"/>
      <c r="IP572" s="1"/>
      <c r="IQ572" s="1"/>
      <c r="IR572" s="1"/>
      <c r="IS572" s="1"/>
      <c r="IT572" s="1"/>
      <c r="IU572" s="1"/>
    </row>
    <row r="573" spans="14:255" s="30" customFormat="1" ht="12.95" customHeight="1" x14ac:dyDescent="0.2">
      <c r="N573" s="31"/>
      <c r="IB573" s="1"/>
      <c r="IC573" s="1"/>
      <c r="ID573" s="1"/>
      <c r="IE573" s="1"/>
      <c r="IF573" s="1"/>
      <c r="IG573" s="1"/>
      <c r="IH573" s="1"/>
      <c r="II573" s="1"/>
      <c r="IJ573" s="1"/>
      <c r="IK573" s="1"/>
      <c r="IL573" s="1"/>
      <c r="IM573" s="1"/>
      <c r="IN573" s="1"/>
      <c r="IO573" s="1"/>
      <c r="IP573" s="1"/>
      <c r="IQ573" s="1"/>
      <c r="IR573" s="1"/>
      <c r="IS573" s="1"/>
      <c r="IT573" s="1"/>
      <c r="IU573" s="1"/>
    </row>
    <row r="574" spans="14:255" s="30" customFormat="1" ht="12.95" customHeight="1" x14ac:dyDescent="0.2">
      <c r="N574" s="31"/>
      <c r="IB574" s="1"/>
      <c r="IC574" s="1"/>
      <c r="ID574" s="1"/>
      <c r="IE574" s="1"/>
      <c r="IF574" s="1"/>
      <c r="IG574" s="1"/>
      <c r="IH574" s="1"/>
      <c r="II574" s="1"/>
      <c r="IJ574" s="1"/>
      <c r="IK574" s="1"/>
      <c r="IL574" s="1"/>
      <c r="IM574" s="1"/>
      <c r="IN574" s="1"/>
      <c r="IO574" s="1"/>
      <c r="IP574" s="1"/>
      <c r="IQ574" s="1"/>
      <c r="IR574" s="1"/>
      <c r="IS574" s="1"/>
      <c r="IT574" s="1"/>
      <c r="IU574" s="1"/>
    </row>
    <row r="575" spans="14:255" s="30" customFormat="1" ht="12.95" customHeight="1" x14ac:dyDescent="0.2">
      <c r="N575" s="31"/>
      <c r="IB575" s="1"/>
      <c r="IC575" s="1"/>
      <c r="ID575" s="1"/>
      <c r="IE575" s="1"/>
      <c r="IF575" s="1"/>
      <c r="IG575" s="1"/>
      <c r="IH575" s="1"/>
      <c r="II575" s="1"/>
      <c r="IJ575" s="1"/>
      <c r="IK575" s="1"/>
      <c r="IL575" s="1"/>
      <c r="IM575" s="1"/>
      <c r="IN575" s="1"/>
      <c r="IO575" s="1"/>
      <c r="IP575" s="1"/>
      <c r="IQ575" s="1"/>
      <c r="IR575" s="1"/>
      <c r="IS575" s="1"/>
      <c r="IT575" s="1"/>
      <c r="IU575" s="1"/>
    </row>
    <row r="576" spans="14:255" s="30" customFormat="1" ht="12.95" customHeight="1" x14ac:dyDescent="0.2">
      <c r="N576" s="31"/>
      <c r="IB576" s="1"/>
      <c r="IC576" s="1"/>
      <c r="ID576" s="1"/>
      <c r="IE576" s="1"/>
      <c r="IF576" s="1"/>
      <c r="IG576" s="1"/>
      <c r="IH576" s="1"/>
      <c r="II576" s="1"/>
      <c r="IJ576" s="1"/>
      <c r="IK576" s="1"/>
      <c r="IL576" s="1"/>
      <c r="IM576" s="1"/>
      <c r="IN576" s="1"/>
      <c r="IO576" s="1"/>
      <c r="IP576" s="1"/>
      <c r="IQ576" s="1"/>
      <c r="IR576" s="1"/>
      <c r="IS576" s="1"/>
      <c r="IT576" s="1"/>
      <c r="IU576" s="1"/>
    </row>
    <row r="577" spans="14:255" s="30" customFormat="1" ht="12.95" customHeight="1" x14ac:dyDescent="0.2">
      <c r="N577" s="31"/>
      <c r="IB577" s="1"/>
      <c r="IC577" s="1"/>
      <c r="ID577" s="1"/>
      <c r="IE577" s="1"/>
      <c r="IF577" s="1"/>
      <c r="IG577" s="1"/>
      <c r="IH577" s="1"/>
      <c r="II577" s="1"/>
      <c r="IJ577" s="1"/>
      <c r="IK577" s="1"/>
      <c r="IL577" s="1"/>
      <c r="IM577" s="1"/>
      <c r="IN577" s="1"/>
      <c r="IO577" s="1"/>
      <c r="IP577" s="1"/>
      <c r="IQ577" s="1"/>
      <c r="IR577" s="1"/>
      <c r="IS577" s="1"/>
      <c r="IT577" s="1"/>
      <c r="IU577" s="1"/>
    </row>
    <row r="578" spans="14:255" s="30" customFormat="1" ht="12.95" customHeight="1" x14ac:dyDescent="0.2">
      <c r="N578" s="31"/>
      <c r="IB578" s="1"/>
      <c r="IC578" s="1"/>
      <c r="ID578" s="1"/>
      <c r="IE578" s="1"/>
      <c r="IF578" s="1"/>
      <c r="IG578" s="1"/>
      <c r="IH578" s="1"/>
      <c r="II578" s="1"/>
      <c r="IJ578" s="1"/>
      <c r="IK578" s="1"/>
      <c r="IL578" s="1"/>
      <c r="IM578" s="1"/>
      <c r="IN578" s="1"/>
      <c r="IO578" s="1"/>
      <c r="IP578" s="1"/>
      <c r="IQ578" s="1"/>
      <c r="IR578" s="1"/>
      <c r="IS578" s="1"/>
      <c r="IT578" s="1"/>
      <c r="IU578" s="1"/>
    </row>
    <row r="579" spans="14:255" s="30" customFormat="1" ht="12.95" customHeight="1" x14ac:dyDescent="0.2">
      <c r="N579" s="31"/>
      <c r="IB579" s="1"/>
      <c r="IC579" s="1"/>
      <c r="ID579" s="1"/>
      <c r="IE579" s="1"/>
      <c r="IF579" s="1"/>
      <c r="IG579" s="1"/>
      <c r="IH579" s="1"/>
      <c r="II579" s="1"/>
      <c r="IJ579" s="1"/>
      <c r="IK579" s="1"/>
      <c r="IL579" s="1"/>
      <c r="IM579" s="1"/>
      <c r="IN579" s="1"/>
      <c r="IO579" s="1"/>
      <c r="IP579" s="1"/>
      <c r="IQ579" s="1"/>
      <c r="IR579" s="1"/>
      <c r="IS579" s="1"/>
      <c r="IT579" s="1"/>
      <c r="IU579" s="1"/>
    </row>
    <row r="580" spans="14:255" s="30" customFormat="1" ht="12.95" customHeight="1" x14ac:dyDescent="0.2">
      <c r="N580" s="31"/>
      <c r="IB580" s="1"/>
      <c r="IC580" s="1"/>
      <c r="ID580" s="1"/>
      <c r="IE580" s="1"/>
      <c r="IF580" s="1"/>
      <c r="IG580" s="1"/>
      <c r="IH580" s="1"/>
      <c r="II580" s="1"/>
      <c r="IJ580" s="1"/>
      <c r="IK580" s="1"/>
      <c r="IL580" s="1"/>
      <c r="IM580" s="1"/>
      <c r="IN580" s="1"/>
      <c r="IO580" s="1"/>
      <c r="IP580" s="1"/>
      <c r="IQ580" s="1"/>
      <c r="IR580" s="1"/>
      <c r="IS580" s="1"/>
      <c r="IT580" s="1"/>
      <c r="IU580" s="1"/>
    </row>
    <row r="581" spans="14:255" s="30" customFormat="1" ht="12.95" customHeight="1" x14ac:dyDescent="0.2">
      <c r="N581" s="31"/>
      <c r="IB581" s="1"/>
      <c r="IC581" s="1"/>
      <c r="ID581" s="1"/>
      <c r="IE581" s="1"/>
      <c r="IF581" s="1"/>
      <c r="IG581" s="1"/>
      <c r="IH581" s="1"/>
      <c r="II581" s="1"/>
      <c r="IJ581" s="1"/>
      <c r="IK581" s="1"/>
      <c r="IL581" s="1"/>
      <c r="IM581" s="1"/>
      <c r="IN581" s="1"/>
      <c r="IO581" s="1"/>
      <c r="IP581" s="1"/>
      <c r="IQ581" s="1"/>
      <c r="IR581" s="1"/>
      <c r="IS581" s="1"/>
      <c r="IT581" s="1"/>
      <c r="IU581" s="1"/>
    </row>
    <row r="582" spans="14:255" s="30" customFormat="1" ht="12.95" customHeight="1" x14ac:dyDescent="0.2">
      <c r="N582" s="31"/>
      <c r="IB582" s="1"/>
      <c r="IC582" s="1"/>
      <c r="ID582" s="1"/>
      <c r="IE582" s="1"/>
      <c r="IF582" s="1"/>
      <c r="IG582" s="1"/>
      <c r="IH582" s="1"/>
      <c r="II582" s="1"/>
      <c r="IJ582" s="1"/>
      <c r="IK582" s="1"/>
      <c r="IL582" s="1"/>
      <c r="IM582" s="1"/>
      <c r="IN582" s="1"/>
      <c r="IO582" s="1"/>
      <c r="IP582" s="1"/>
      <c r="IQ582" s="1"/>
      <c r="IR582" s="1"/>
      <c r="IS582" s="1"/>
      <c r="IT582" s="1"/>
      <c r="IU582" s="1"/>
    </row>
    <row r="583" spans="14:255" s="30" customFormat="1" ht="12.95" customHeight="1" x14ac:dyDescent="0.2">
      <c r="N583" s="31"/>
      <c r="IB583" s="1"/>
      <c r="IC583" s="1"/>
      <c r="ID583" s="1"/>
      <c r="IE583" s="1"/>
      <c r="IF583" s="1"/>
      <c r="IG583" s="1"/>
      <c r="IH583" s="1"/>
      <c r="II583" s="1"/>
      <c r="IJ583" s="1"/>
      <c r="IK583" s="1"/>
      <c r="IL583" s="1"/>
      <c r="IM583" s="1"/>
      <c r="IN583" s="1"/>
      <c r="IO583" s="1"/>
      <c r="IP583" s="1"/>
      <c r="IQ583" s="1"/>
      <c r="IR583" s="1"/>
      <c r="IS583" s="1"/>
      <c r="IT583" s="1"/>
      <c r="IU583" s="1"/>
    </row>
    <row r="584" spans="14:255" s="30" customFormat="1" ht="12.95" customHeight="1" x14ac:dyDescent="0.2">
      <c r="N584" s="31"/>
      <c r="IB584" s="1"/>
      <c r="IC584" s="1"/>
      <c r="ID584" s="1"/>
      <c r="IE584" s="1"/>
      <c r="IF584" s="1"/>
      <c r="IG584" s="1"/>
      <c r="IH584" s="1"/>
      <c r="II584" s="1"/>
      <c r="IJ584" s="1"/>
      <c r="IK584" s="1"/>
      <c r="IL584" s="1"/>
      <c r="IM584" s="1"/>
      <c r="IN584" s="1"/>
      <c r="IO584" s="1"/>
      <c r="IP584" s="1"/>
      <c r="IQ584" s="1"/>
      <c r="IR584" s="1"/>
      <c r="IS584" s="1"/>
      <c r="IT584" s="1"/>
      <c r="IU584" s="1"/>
    </row>
    <row r="585" spans="14:255" s="30" customFormat="1" ht="12.95" customHeight="1" x14ac:dyDescent="0.2">
      <c r="N585" s="31"/>
      <c r="IB585" s="1"/>
      <c r="IC585" s="1"/>
      <c r="ID585" s="1"/>
      <c r="IE585" s="1"/>
      <c r="IF585" s="1"/>
      <c r="IG585" s="1"/>
      <c r="IH585" s="1"/>
      <c r="II585" s="1"/>
      <c r="IJ585" s="1"/>
      <c r="IK585" s="1"/>
      <c r="IL585" s="1"/>
      <c r="IM585" s="1"/>
      <c r="IN585" s="1"/>
      <c r="IO585" s="1"/>
      <c r="IP585" s="1"/>
      <c r="IQ585" s="1"/>
      <c r="IR585" s="1"/>
      <c r="IS585" s="1"/>
      <c r="IT585" s="1"/>
      <c r="IU585" s="1"/>
    </row>
    <row r="586" spans="14:255" s="30" customFormat="1" ht="12.95" customHeight="1" x14ac:dyDescent="0.2">
      <c r="N586" s="31"/>
      <c r="IB586" s="1"/>
      <c r="IC586" s="1"/>
      <c r="ID586" s="1"/>
      <c r="IE586" s="1"/>
      <c r="IF586" s="1"/>
      <c r="IG586" s="1"/>
      <c r="IH586" s="1"/>
      <c r="II586" s="1"/>
      <c r="IJ586" s="1"/>
      <c r="IK586" s="1"/>
      <c r="IL586" s="1"/>
      <c r="IM586" s="1"/>
      <c r="IN586" s="1"/>
      <c r="IO586" s="1"/>
      <c r="IP586" s="1"/>
      <c r="IQ586" s="1"/>
      <c r="IR586" s="1"/>
      <c r="IS586" s="1"/>
      <c r="IT586" s="1"/>
      <c r="IU586" s="1"/>
    </row>
    <row r="587" spans="14:255" s="30" customFormat="1" ht="12.95" customHeight="1" x14ac:dyDescent="0.2">
      <c r="N587" s="31"/>
      <c r="IB587" s="1"/>
      <c r="IC587" s="1"/>
      <c r="ID587" s="1"/>
      <c r="IE587" s="1"/>
      <c r="IF587" s="1"/>
      <c r="IG587" s="1"/>
      <c r="IH587" s="1"/>
      <c r="II587" s="1"/>
      <c r="IJ587" s="1"/>
      <c r="IK587" s="1"/>
      <c r="IL587" s="1"/>
      <c r="IM587" s="1"/>
      <c r="IN587" s="1"/>
      <c r="IO587" s="1"/>
      <c r="IP587" s="1"/>
      <c r="IQ587" s="1"/>
      <c r="IR587" s="1"/>
      <c r="IS587" s="1"/>
      <c r="IT587" s="1"/>
      <c r="IU587" s="1"/>
    </row>
    <row r="588" spans="14:255" s="30" customFormat="1" ht="12.95" customHeight="1" x14ac:dyDescent="0.2">
      <c r="N588" s="31"/>
      <c r="IB588" s="1"/>
      <c r="IC588" s="1"/>
      <c r="ID588" s="1"/>
      <c r="IE588" s="1"/>
      <c r="IF588" s="1"/>
      <c r="IG588" s="1"/>
      <c r="IH588" s="1"/>
      <c r="II588" s="1"/>
      <c r="IJ588" s="1"/>
      <c r="IK588" s="1"/>
      <c r="IL588" s="1"/>
      <c r="IM588" s="1"/>
      <c r="IN588" s="1"/>
      <c r="IO588" s="1"/>
      <c r="IP588" s="1"/>
      <c r="IQ588" s="1"/>
      <c r="IR588" s="1"/>
      <c r="IS588" s="1"/>
      <c r="IT588" s="1"/>
      <c r="IU588" s="1"/>
    </row>
    <row r="589" spans="14:255" s="30" customFormat="1" ht="12.95" customHeight="1" x14ac:dyDescent="0.2">
      <c r="N589" s="31"/>
      <c r="IB589" s="1"/>
      <c r="IC589" s="1"/>
      <c r="ID589" s="1"/>
      <c r="IE589" s="1"/>
      <c r="IF589" s="1"/>
      <c r="IG589" s="1"/>
      <c r="IH589" s="1"/>
      <c r="II589" s="1"/>
      <c r="IJ589" s="1"/>
      <c r="IK589" s="1"/>
      <c r="IL589" s="1"/>
      <c r="IM589" s="1"/>
      <c r="IN589" s="1"/>
      <c r="IO589" s="1"/>
      <c r="IP589" s="1"/>
      <c r="IQ589" s="1"/>
      <c r="IR589" s="1"/>
      <c r="IS589" s="1"/>
      <c r="IT589" s="1"/>
      <c r="IU589" s="1"/>
    </row>
    <row r="590" spans="14:255" s="30" customFormat="1" ht="12.95" customHeight="1" x14ac:dyDescent="0.2">
      <c r="N590" s="31"/>
      <c r="IB590" s="1"/>
      <c r="IC590" s="1"/>
      <c r="ID590" s="1"/>
      <c r="IE590" s="1"/>
      <c r="IF590" s="1"/>
      <c r="IG590" s="1"/>
      <c r="IH590" s="1"/>
      <c r="II590" s="1"/>
      <c r="IJ590" s="1"/>
      <c r="IK590" s="1"/>
      <c r="IL590" s="1"/>
      <c r="IM590" s="1"/>
      <c r="IN590" s="1"/>
      <c r="IO590" s="1"/>
      <c r="IP590" s="1"/>
      <c r="IQ590" s="1"/>
      <c r="IR590" s="1"/>
      <c r="IS590" s="1"/>
      <c r="IT590" s="1"/>
      <c r="IU590" s="1"/>
    </row>
    <row r="591" spans="14:255" s="30" customFormat="1" ht="12.95" customHeight="1" x14ac:dyDescent="0.2">
      <c r="N591" s="31"/>
      <c r="IB591" s="1"/>
      <c r="IC591" s="1"/>
      <c r="ID591" s="1"/>
      <c r="IE591" s="1"/>
      <c r="IF591" s="1"/>
      <c r="IG591" s="1"/>
      <c r="IH591" s="1"/>
      <c r="II591" s="1"/>
      <c r="IJ591" s="1"/>
      <c r="IK591" s="1"/>
      <c r="IL591" s="1"/>
      <c r="IM591" s="1"/>
      <c r="IN591" s="1"/>
      <c r="IO591" s="1"/>
      <c r="IP591" s="1"/>
      <c r="IQ591" s="1"/>
      <c r="IR591" s="1"/>
      <c r="IS591" s="1"/>
      <c r="IT591" s="1"/>
      <c r="IU591" s="1"/>
    </row>
    <row r="592" spans="14:255" s="30" customFormat="1" ht="12.95" customHeight="1" x14ac:dyDescent="0.2">
      <c r="N592" s="31"/>
      <c r="IB592" s="1"/>
      <c r="IC592" s="1"/>
      <c r="ID592" s="1"/>
      <c r="IE592" s="1"/>
      <c r="IF592" s="1"/>
      <c r="IG592" s="1"/>
      <c r="IH592" s="1"/>
      <c r="II592" s="1"/>
      <c r="IJ592" s="1"/>
      <c r="IK592" s="1"/>
      <c r="IL592" s="1"/>
      <c r="IM592" s="1"/>
      <c r="IN592" s="1"/>
      <c r="IO592" s="1"/>
      <c r="IP592" s="1"/>
      <c r="IQ592" s="1"/>
      <c r="IR592" s="1"/>
      <c r="IS592" s="1"/>
      <c r="IT592" s="1"/>
      <c r="IU592" s="1"/>
    </row>
    <row r="593" spans="14:255" s="30" customFormat="1" ht="12.95" customHeight="1" x14ac:dyDescent="0.2">
      <c r="N593" s="31"/>
      <c r="IB593" s="1"/>
      <c r="IC593" s="1"/>
      <c r="ID593" s="1"/>
      <c r="IE593" s="1"/>
      <c r="IF593" s="1"/>
      <c r="IG593" s="1"/>
      <c r="IH593" s="1"/>
      <c r="II593" s="1"/>
      <c r="IJ593" s="1"/>
      <c r="IK593" s="1"/>
      <c r="IL593" s="1"/>
      <c r="IM593" s="1"/>
      <c r="IN593" s="1"/>
      <c r="IO593" s="1"/>
      <c r="IP593" s="1"/>
      <c r="IQ593" s="1"/>
      <c r="IR593" s="1"/>
      <c r="IS593" s="1"/>
      <c r="IT593" s="1"/>
      <c r="IU593" s="1"/>
    </row>
    <row r="594" spans="14:255" s="30" customFormat="1" ht="12.95" customHeight="1" x14ac:dyDescent="0.2">
      <c r="N594" s="31"/>
      <c r="IB594" s="1"/>
      <c r="IC594" s="1"/>
      <c r="ID594" s="1"/>
      <c r="IE594" s="1"/>
      <c r="IF594" s="1"/>
      <c r="IG594" s="1"/>
      <c r="IH594" s="1"/>
      <c r="II594" s="1"/>
      <c r="IJ594" s="1"/>
      <c r="IK594" s="1"/>
      <c r="IL594" s="1"/>
      <c r="IM594" s="1"/>
      <c r="IN594" s="1"/>
      <c r="IO594" s="1"/>
      <c r="IP594" s="1"/>
      <c r="IQ594" s="1"/>
      <c r="IR594" s="1"/>
      <c r="IS594" s="1"/>
      <c r="IT594" s="1"/>
      <c r="IU594" s="1"/>
    </row>
    <row r="595" spans="14:255" s="30" customFormat="1" ht="12.95" customHeight="1" x14ac:dyDescent="0.2">
      <c r="N595" s="31"/>
      <c r="IB595" s="1"/>
      <c r="IC595" s="1"/>
      <c r="ID595" s="1"/>
      <c r="IE595" s="1"/>
      <c r="IF595" s="1"/>
      <c r="IG595" s="1"/>
      <c r="IH595" s="1"/>
      <c r="II595" s="1"/>
      <c r="IJ595" s="1"/>
      <c r="IK595" s="1"/>
      <c r="IL595" s="1"/>
      <c r="IM595" s="1"/>
      <c r="IN595" s="1"/>
      <c r="IO595" s="1"/>
      <c r="IP595" s="1"/>
      <c r="IQ595" s="1"/>
      <c r="IR595" s="1"/>
      <c r="IS595" s="1"/>
      <c r="IT595" s="1"/>
      <c r="IU595" s="1"/>
    </row>
    <row r="596" spans="14:255" s="30" customFormat="1" ht="12.95" customHeight="1" x14ac:dyDescent="0.2">
      <c r="N596" s="31"/>
      <c r="IB596" s="1"/>
      <c r="IC596" s="1"/>
      <c r="ID596" s="1"/>
      <c r="IE596" s="1"/>
      <c r="IF596" s="1"/>
      <c r="IG596" s="1"/>
      <c r="IH596" s="1"/>
      <c r="II596" s="1"/>
      <c r="IJ596" s="1"/>
      <c r="IK596" s="1"/>
      <c r="IL596" s="1"/>
      <c r="IM596" s="1"/>
      <c r="IN596" s="1"/>
      <c r="IO596" s="1"/>
      <c r="IP596" s="1"/>
      <c r="IQ596" s="1"/>
      <c r="IR596" s="1"/>
      <c r="IS596" s="1"/>
      <c r="IT596" s="1"/>
      <c r="IU596" s="1"/>
    </row>
    <row r="597" spans="14:255" s="30" customFormat="1" ht="12.95" customHeight="1" x14ac:dyDescent="0.2">
      <c r="N597" s="31"/>
      <c r="IB597" s="1"/>
      <c r="IC597" s="1"/>
      <c r="ID597" s="1"/>
      <c r="IE597" s="1"/>
      <c r="IF597" s="1"/>
      <c r="IG597" s="1"/>
      <c r="IH597" s="1"/>
      <c r="II597" s="1"/>
      <c r="IJ597" s="1"/>
      <c r="IK597" s="1"/>
      <c r="IL597" s="1"/>
      <c r="IM597" s="1"/>
      <c r="IN597" s="1"/>
      <c r="IO597" s="1"/>
      <c r="IP597" s="1"/>
      <c r="IQ597" s="1"/>
      <c r="IR597" s="1"/>
      <c r="IS597" s="1"/>
      <c r="IT597" s="1"/>
      <c r="IU597" s="1"/>
    </row>
    <row r="598" spans="14:255" s="30" customFormat="1" ht="12.95" customHeight="1" x14ac:dyDescent="0.2">
      <c r="N598" s="31"/>
      <c r="IB598" s="1"/>
      <c r="IC598" s="1"/>
      <c r="ID598" s="1"/>
      <c r="IE598" s="1"/>
      <c r="IF598" s="1"/>
      <c r="IG598" s="1"/>
      <c r="IH598" s="1"/>
      <c r="II598" s="1"/>
      <c r="IJ598" s="1"/>
      <c r="IK598" s="1"/>
      <c r="IL598" s="1"/>
      <c r="IM598" s="1"/>
      <c r="IN598" s="1"/>
      <c r="IO598" s="1"/>
      <c r="IP598" s="1"/>
      <c r="IQ598" s="1"/>
      <c r="IR598" s="1"/>
      <c r="IS598" s="1"/>
      <c r="IT598" s="1"/>
      <c r="IU598" s="1"/>
    </row>
    <row r="599" spans="14:255" s="30" customFormat="1" ht="12.95" customHeight="1" x14ac:dyDescent="0.2">
      <c r="N599" s="31"/>
      <c r="IB599" s="1"/>
      <c r="IC599" s="1"/>
      <c r="ID599" s="1"/>
      <c r="IE599" s="1"/>
      <c r="IF599" s="1"/>
      <c r="IG599" s="1"/>
      <c r="IH599" s="1"/>
      <c r="II599" s="1"/>
      <c r="IJ599" s="1"/>
      <c r="IK599" s="1"/>
      <c r="IL599" s="1"/>
      <c r="IM599" s="1"/>
      <c r="IN599" s="1"/>
      <c r="IO599" s="1"/>
      <c r="IP599" s="1"/>
      <c r="IQ599" s="1"/>
      <c r="IR599" s="1"/>
      <c r="IS599" s="1"/>
      <c r="IT599" s="1"/>
      <c r="IU599" s="1"/>
    </row>
    <row r="600" spans="14:255" s="30" customFormat="1" ht="12.95" customHeight="1" x14ac:dyDescent="0.2">
      <c r="N600" s="31"/>
      <c r="IB600" s="1"/>
      <c r="IC600" s="1"/>
      <c r="ID600" s="1"/>
      <c r="IE600" s="1"/>
      <c r="IF600" s="1"/>
      <c r="IG600" s="1"/>
      <c r="IH600" s="1"/>
      <c r="II600" s="1"/>
      <c r="IJ600" s="1"/>
      <c r="IK600" s="1"/>
      <c r="IL600" s="1"/>
      <c r="IM600" s="1"/>
      <c r="IN600" s="1"/>
      <c r="IO600" s="1"/>
      <c r="IP600" s="1"/>
      <c r="IQ600" s="1"/>
      <c r="IR600" s="1"/>
      <c r="IS600" s="1"/>
      <c r="IT600" s="1"/>
      <c r="IU600" s="1"/>
    </row>
    <row r="601" spans="14:255" s="30" customFormat="1" ht="12.95" customHeight="1" x14ac:dyDescent="0.2">
      <c r="N601" s="31"/>
      <c r="IB601" s="1"/>
      <c r="IC601" s="1"/>
      <c r="ID601" s="1"/>
      <c r="IE601" s="1"/>
      <c r="IF601" s="1"/>
      <c r="IG601" s="1"/>
      <c r="IH601" s="1"/>
      <c r="II601" s="1"/>
      <c r="IJ601" s="1"/>
      <c r="IK601" s="1"/>
      <c r="IL601" s="1"/>
      <c r="IM601" s="1"/>
      <c r="IN601" s="1"/>
      <c r="IO601" s="1"/>
      <c r="IP601" s="1"/>
      <c r="IQ601" s="1"/>
      <c r="IR601" s="1"/>
      <c r="IS601" s="1"/>
      <c r="IT601" s="1"/>
      <c r="IU601" s="1"/>
    </row>
    <row r="602" spans="14:255" s="30" customFormat="1" ht="12.95" customHeight="1" x14ac:dyDescent="0.2">
      <c r="N602" s="31"/>
      <c r="IB602" s="1"/>
      <c r="IC602" s="1"/>
      <c r="ID602" s="1"/>
      <c r="IE602" s="1"/>
      <c r="IF602" s="1"/>
      <c r="IG602" s="1"/>
      <c r="IH602" s="1"/>
      <c r="II602" s="1"/>
      <c r="IJ602" s="1"/>
      <c r="IK602" s="1"/>
      <c r="IL602" s="1"/>
      <c r="IM602" s="1"/>
      <c r="IN602" s="1"/>
      <c r="IO602" s="1"/>
      <c r="IP602" s="1"/>
      <c r="IQ602" s="1"/>
      <c r="IR602" s="1"/>
      <c r="IS602" s="1"/>
      <c r="IT602" s="1"/>
      <c r="IU602" s="1"/>
    </row>
    <row r="603" spans="14:255" s="30" customFormat="1" ht="12.95" customHeight="1" x14ac:dyDescent="0.2">
      <c r="N603" s="31"/>
      <c r="IB603" s="1"/>
      <c r="IC603" s="1"/>
      <c r="ID603" s="1"/>
      <c r="IE603" s="1"/>
      <c r="IF603" s="1"/>
      <c r="IG603" s="1"/>
      <c r="IH603" s="1"/>
      <c r="II603" s="1"/>
      <c r="IJ603" s="1"/>
      <c r="IK603" s="1"/>
      <c r="IL603" s="1"/>
      <c r="IM603" s="1"/>
      <c r="IN603" s="1"/>
      <c r="IO603" s="1"/>
      <c r="IP603" s="1"/>
      <c r="IQ603" s="1"/>
      <c r="IR603" s="1"/>
      <c r="IS603" s="1"/>
      <c r="IT603" s="1"/>
      <c r="IU603" s="1"/>
    </row>
    <row r="604" spans="14:255" s="30" customFormat="1" ht="12.95" customHeight="1" x14ac:dyDescent="0.2">
      <c r="N604" s="31"/>
      <c r="IB604" s="1"/>
      <c r="IC604" s="1"/>
      <c r="ID604" s="1"/>
      <c r="IE604" s="1"/>
      <c r="IF604" s="1"/>
      <c r="IG604" s="1"/>
      <c r="IH604" s="1"/>
      <c r="II604" s="1"/>
      <c r="IJ604" s="1"/>
      <c r="IK604" s="1"/>
      <c r="IL604" s="1"/>
      <c r="IM604" s="1"/>
      <c r="IN604" s="1"/>
      <c r="IO604" s="1"/>
      <c r="IP604" s="1"/>
      <c r="IQ604" s="1"/>
      <c r="IR604" s="1"/>
      <c r="IS604" s="1"/>
      <c r="IT604" s="1"/>
      <c r="IU604" s="1"/>
    </row>
    <row r="605" spans="14:255" s="30" customFormat="1" ht="12.95" customHeight="1" x14ac:dyDescent="0.2">
      <c r="N605" s="31"/>
      <c r="IB605" s="1"/>
      <c r="IC605" s="1"/>
      <c r="ID605" s="1"/>
      <c r="IE605" s="1"/>
      <c r="IF605" s="1"/>
      <c r="IG605" s="1"/>
      <c r="IH605" s="1"/>
      <c r="II605" s="1"/>
      <c r="IJ605" s="1"/>
      <c r="IK605" s="1"/>
      <c r="IL605" s="1"/>
      <c r="IM605" s="1"/>
      <c r="IN605" s="1"/>
      <c r="IO605" s="1"/>
      <c r="IP605" s="1"/>
      <c r="IQ605" s="1"/>
      <c r="IR605" s="1"/>
      <c r="IS605" s="1"/>
      <c r="IT605" s="1"/>
      <c r="IU605" s="1"/>
    </row>
    <row r="606" spans="14:255" s="30" customFormat="1" ht="12.95" customHeight="1" x14ac:dyDescent="0.2">
      <c r="N606" s="31"/>
      <c r="IB606" s="1"/>
      <c r="IC606" s="1"/>
      <c r="ID606" s="1"/>
      <c r="IE606" s="1"/>
      <c r="IF606" s="1"/>
      <c r="IG606" s="1"/>
      <c r="IH606" s="1"/>
      <c r="II606" s="1"/>
      <c r="IJ606" s="1"/>
      <c r="IK606" s="1"/>
      <c r="IL606" s="1"/>
      <c r="IM606" s="1"/>
      <c r="IN606" s="1"/>
      <c r="IO606" s="1"/>
      <c r="IP606" s="1"/>
      <c r="IQ606" s="1"/>
      <c r="IR606" s="1"/>
      <c r="IS606" s="1"/>
      <c r="IT606" s="1"/>
      <c r="IU606" s="1"/>
    </row>
    <row r="607" spans="14:255" s="30" customFormat="1" ht="12.95" customHeight="1" x14ac:dyDescent="0.2">
      <c r="N607" s="31"/>
      <c r="IB607" s="1"/>
      <c r="IC607" s="1"/>
      <c r="ID607" s="1"/>
      <c r="IE607" s="1"/>
      <c r="IF607" s="1"/>
      <c r="IG607" s="1"/>
      <c r="IH607" s="1"/>
      <c r="II607" s="1"/>
      <c r="IJ607" s="1"/>
      <c r="IK607" s="1"/>
      <c r="IL607" s="1"/>
      <c r="IM607" s="1"/>
      <c r="IN607" s="1"/>
      <c r="IO607" s="1"/>
      <c r="IP607" s="1"/>
      <c r="IQ607" s="1"/>
      <c r="IR607" s="1"/>
      <c r="IS607" s="1"/>
      <c r="IT607" s="1"/>
      <c r="IU607" s="1"/>
    </row>
    <row r="608" spans="14:255" s="30" customFormat="1" ht="12.95" customHeight="1" x14ac:dyDescent="0.2">
      <c r="N608" s="31"/>
      <c r="IB608" s="1"/>
      <c r="IC608" s="1"/>
      <c r="ID608" s="1"/>
      <c r="IE608" s="1"/>
      <c r="IF608" s="1"/>
      <c r="IG608" s="1"/>
      <c r="IH608" s="1"/>
      <c r="II608" s="1"/>
      <c r="IJ608" s="1"/>
      <c r="IK608" s="1"/>
      <c r="IL608" s="1"/>
      <c r="IM608" s="1"/>
      <c r="IN608" s="1"/>
      <c r="IO608" s="1"/>
      <c r="IP608" s="1"/>
      <c r="IQ608" s="1"/>
      <c r="IR608" s="1"/>
      <c r="IS608" s="1"/>
      <c r="IT608" s="1"/>
      <c r="IU608" s="1"/>
    </row>
    <row r="609" spans="14:255" s="30" customFormat="1" ht="12.95" customHeight="1" x14ac:dyDescent="0.2">
      <c r="N609" s="31"/>
      <c r="IB609" s="1"/>
      <c r="IC609" s="1"/>
      <c r="ID609" s="1"/>
      <c r="IE609" s="1"/>
      <c r="IF609" s="1"/>
      <c r="IG609" s="1"/>
      <c r="IH609" s="1"/>
      <c r="II609" s="1"/>
      <c r="IJ609" s="1"/>
      <c r="IK609" s="1"/>
      <c r="IL609" s="1"/>
      <c r="IM609" s="1"/>
      <c r="IN609" s="1"/>
      <c r="IO609" s="1"/>
      <c r="IP609" s="1"/>
      <c r="IQ609" s="1"/>
      <c r="IR609" s="1"/>
      <c r="IS609" s="1"/>
      <c r="IT609" s="1"/>
      <c r="IU609" s="1"/>
    </row>
    <row r="610" spans="14:255" s="30" customFormat="1" ht="12.95" customHeight="1" x14ac:dyDescent="0.2">
      <c r="N610" s="31"/>
      <c r="IB610" s="1"/>
      <c r="IC610" s="1"/>
      <c r="ID610" s="1"/>
      <c r="IE610" s="1"/>
      <c r="IF610" s="1"/>
      <c r="IG610" s="1"/>
      <c r="IH610" s="1"/>
      <c r="II610" s="1"/>
      <c r="IJ610" s="1"/>
      <c r="IK610" s="1"/>
      <c r="IL610" s="1"/>
      <c r="IM610" s="1"/>
      <c r="IN610" s="1"/>
      <c r="IO610" s="1"/>
      <c r="IP610" s="1"/>
      <c r="IQ610" s="1"/>
      <c r="IR610" s="1"/>
      <c r="IS610" s="1"/>
      <c r="IT610" s="1"/>
      <c r="IU610" s="1"/>
    </row>
    <row r="611" spans="14:255" s="30" customFormat="1" ht="12.95" customHeight="1" x14ac:dyDescent="0.2">
      <c r="N611" s="31"/>
      <c r="IB611" s="1"/>
      <c r="IC611" s="1"/>
      <c r="ID611" s="1"/>
      <c r="IE611" s="1"/>
      <c r="IF611" s="1"/>
      <c r="IG611" s="1"/>
      <c r="IH611" s="1"/>
      <c r="II611" s="1"/>
      <c r="IJ611" s="1"/>
      <c r="IK611" s="1"/>
      <c r="IL611" s="1"/>
      <c r="IM611" s="1"/>
      <c r="IN611" s="1"/>
      <c r="IO611" s="1"/>
      <c r="IP611" s="1"/>
      <c r="IQ611" s="1"/>
      <c r="IR611" s="1"/>
      <c r="IS611" s="1"/>
      <c r="IT611" s="1"/>
      <c r="IU611" s="1"/>
    </row>
    <row r="612" spans="14:255" s="30" customFormat="1" ht="12.95" customHeight="1" x14ac:dyDescent="0.2">
      <c r="N612" s="31"/>
      <c r="IB612" s="1"/>
      <c r="IC612" s="1"/>
      <c r="ID612" s="1"/>
      <c r="IE612" s="1"/>
      <c r="IF612" s="1"/>
      <c r="IG612" s="1"/>
      <c r="IH612" s="1"/>
      <c r="II612" s="1"/>
      <c r="IJ612" s="1"/>
      <c r="IK612" s="1"/>
      <c r="IL612" s="1"/>
      <c r="IM612" s="1"/>
      <c r="IN612" s="1"/>
      <c r="IO612" s="1"/>
      <c r="IP612" s="1"/>
      <c r="IQ612" s="1"/>
      <c r="IR612" s="1"/>
      <c r="IS612" s="1"/>
      <c r="IT612" s="1"/>
      <c r="IU612" s="1"/>
    </row>
    <row r="613" spans="14:255" s="30" customFormat="1" ht="12.95" customHeight="1" x14ac:dyDescent="0.2">
      <c r="N613" s="31"/>
      <c r="IB613" s="1"/>
      <c r="IC613" s="1"/>
      <c r="ID613" s="1"/>
      <c r="IE613" s="1"/>
      <c r="IF613" s="1"/>
      <c r="IG613" s="1"/>
      <c r="IH613" s="1"/>
      <c r="II613" s="1"/>
      <c r="IJ613" s="1"/>
      <c r="IK613" s="1"/>
      <c r="IL613" s="1"/>
      <c r="IM613" s="1"/>
      <c r="IN613" s="1"/>
      <c r="IO613" s="1"/>
      <c r="IP613" s="1"/>
      <c r="IQ613" s="1"/>
      <c r="IR613" s="1"/>
      <c r="IS613" s="1"/>
      <c r="IT613" s="1"/>
      <c r="IU613" s="1"/>
    </row>
    <row r="614" spans="14:255" s="30" customFormat="1" ht="12.95" customHeight="1" x14ac:dyDescent="0.2">
      <c r="N614" s="31"/>
      <c r="IB614" s="1"/>
      <c r="IC614" s="1"/>
      <c r="ID614" s="1"/>
      <c r="IE614" s="1"/>
      <c r="IF614" s="1"/>
      <c r="IG614" s="1"/>
      <c r="IH614" s="1"/>
      <c r="II614" s="1"/>
      <c r="IJ614" s="1"/>
      <c r="IK614" s="1"/>
      <c r="IL614" s="1"/>
      <c r="IM614" s="1"/>
      <c r="IN614" s="1"/>
      <c r="IO614" s="1"/>
      <c r="IP614" s="1"/>
      <c r="IQ614" s="1"/>
      <c r="IR614" s="1"/>
      <c r="IS614" s="1"/>
      <c r="IT614" s="1"/>
      <c r="IU614" s="1"/>
    </row>
    <row r="615" spans="14:255" s="30" customFormat="1" ht="12.95" customHeight="1" x14ac:dyDescent="0.2">
      <c r="N615" s="31"/>
      <c r="IB615" s="1"/>
      <c r="IC615" s="1"/>
      <c r="ID615" s="1"/>
      <c r="IE615" s="1"/>
      <c r="IF615" s="1"/>
      <c r="IG615" s="1"/>
      <c r="IH615" s="1"/>
      <c r="II615" s="1"/>
      <c r="IJ615" s="1"/>
      <c r="IK615" s="1"/>
      <c r="IL615" s="1"/>
      <c r="IM615" s="1"/>
      <c r="IN615" s="1"/>
      <c r="IO615" s="1"/>
      <c r="IP615" s="1"/>
      <c r="IQ615" s="1"/>
      <c r="IR615" s="1"/>
      <c r="IS615" s="1"/>
      <c r="IT615" s="1"/>
      <c r="IU615" s="1"/>
    </row>
    <row r="616" spans="14:255" s="30" customFormat="1" ht="12.95" customHeight="1" x14ac:dyDescent="0.2">
      <c r="N616" s="31"/>
      <c r="IB616" s="1"/>
      <c r="IC616" s="1"/>
      <c r="ID616" s="1"/>
      <c r="IE616" s="1"/>
      <c r="IF616" s="1"/>
      <c r="IG616" s="1"/>
      <c r="IH616" s="1"/>
      <c r="II616" s="1"/>
      <c r="IJ616" s="1"/>
      <c r="IK616" s="1"/>
      <c r="IL616" s="1"/>
      <c r="IM616" s="1"/>
      <c r="IN616" s="1"/>
      <c r="IO616" s="1"/>
      <c r="IP616" s="1"/>
      <c r="IQ616" s="1"/>
      <c r="IR616" s="1"/>
      <c r="IS616" s="1"/>
      <c r="IT616" s="1"/>
      <c r="IU616" s="1"/>
    </row>
    <row r="617" spans="14:255" s="30" customFormat="1" ht="12.95" customHeight="1" x14ac:dyDescent="0.2">
      <c r="N617" s="31"/>
      <c r="IB617" s="1"/>
      <c r="IC617" s="1"/>
      <c r="ID617" s="1"/>
      <c r="IE617" s="1"/>
      <c r="IF617" s="1"/>
      <c r="IG617" s="1"/>
      <c r="IH617" s="1"/>
      <c r="II617" s="1"/>
      <c r="IJ617" s="1"/>
      <c r="IK617" s="1"/>
      <c r="IL617" s="1"/>
      <c r="IM617" s="1"/>
      <c r="IN617" s="1"/>
      <c r="IO617" s="1"/>
      <c r="IP617" s="1"/>
      <c r="IQ617" s="1"/>
      <c r="IR617" s="1"/>
      <c r="IS617" s="1"/>
      <c r="IT617" s="1"/>
      <c r="IU617" s="1"/>
    </row>
    <row r="618" spans="14:255" s="30" customFormat="1" ht="12.95" customHeight="1" x14ac:dyDescent="0.2">
      <c r="N618" s="31"/>
      <c r="IB618" s="1"/>
      <c r="IC618" s="1"/>
      <c r="ID618" s="1"/>
      <c r="IE618" s="1"/>
      <c r="IF618" s="1"/>
      <c r="IG618" s="1"/>
      <c r="IH618" s="1"/>
      <c r="II618" s="1"/>
      <c r="IJ618" s="1"/>
      <c r="IK618" s="1"/>
      <c r="IL618" s="1"/>
      <c r="IM618" s="1"/>
      <c r="IN618" s="1"/>
      <c r="IO618" s="1"/>
      <c r="IP618" s="1"/>
      <c r="IQ618" s="1"/>
      <c r="IR618" s="1"/>
      <c r="IS618" s="1"/>
      <c r="IT618" s="1"/>
      <c r="IU618" s="1"/>
    </row>
    <row r="619" spans="14:255" s="30" customFormat="1" ht="12.95" customHeight="1" x14ac:dyDescent="0.2">
      <c r="N619" s="31"/>
      <c r="IB619" s="1"/>
      <c r="IC619" s="1"/>
      <c r="ID619" s="1"/>
      <c r="IE619" s="1"/>
      <c r="IF619" s="1"/>
      <c r="IG619" s="1"/>
      <c r="IH619" s="1"/>
      <c r="II619" s="1"/>
      <c r="IJ619" s="1"/>
      <c r="IK619" s="1"/>
      <c r="IL619" s="1"/>
      <c r="IM619" s="1"/>
      <c r="IN619" s="1"/>
      <c r="IO619" s="1"/>
      <c r="IP619" s="1"/>
      <c r="IQ619" s="1"/>
      <c r="IR619" s="1"/>
      <c r="IS619" s="1"/>
      <c r="IT619" s="1"/>
      <c r="IU619" s="1"/>
    </row>
    <row r="620" spans="14:255" s="30" customFormat="1" ht="12.95" customHeight="1" x14ac:dyDescent="0.2">
      <c r="N620" s="31"/>
      <c r="IB620" s="1"/>
      <c r="IC620" s="1"/>
      <c r="ID620" s="1"/>
      <c r="IE620" s="1"/>
      <c r="IF620" s="1"/>
      <c r="IG620" s="1"/>
      <c r="IH620" s="1"/>
      <c r="II620" s="1"/>
      <c r="IJ620" s="1"/>
      <c r="IK620" s="1"/>
      <c r="IL620" s="1"/>
      <c r="IM620" s="1"/>
      <c r="IN620" s="1"/>
      <c r="IO620" s="1"/>
      <c r="IP620" s="1"/>
      <c r="IQ620" s="1"/>
      <c r="IR620" s="1"/>
      <c r="IS620" s="1"/>
      <c r="IT620" s="1"/>
      <c r="IU620" s="1"/>
    </row>
    <row r="621" spans="14:255" s="30" customFormat="1" ht="12.95" customHeight="1" x14ac:dyDescent="0.2">
      <c r="N621" s="31"/>
      <c r="IB621" s="1"/>
      <c r="IC621" s="1"/>
      <c r="ID621" s="1"/>
      <c r="IE621" s="1"/>
      <c r="IF621" s="1"/>
      <c r="IG621" s="1"/>
      <c r="IH621" s="1"/>
      <c r="II621" s="1"/>
      <c r="IJ621" s="1"/>
      <c r="IK621" s="1"/>
      <c r="IL621" s="1"/>
      <c r="IM621" s="1"/>
      <c r="IN621" s="1"/>
      <c r="IO621" s="1"/>
      <c r="IP621" s="1"/>
      <c r="IQ621" s="1"/>
      <c r="IR621" s="1"/>
      <c r="IS621" s="1"/>
      <c r="IT621" s="1"/>
      <c r="IU621" s="1"/>
    </row>
    <row r="622" spans="14:255" s="30" customFormat="1" ht="12.95" customHeight="1" x14ac:dyDescent="0.2">
      <c r="N622" s="31"/>
      <c r="IB622" s="1"/>
      <c r="IC622" s="1"/>
      <c r="ID622" s="1"/>
      <c r="IE622" s="1"/>
      <c r="IF622" s="1"/>
      <c r="IG622" s="1"/>
      <c r="IH622" s="1"/>
      <c r="II622" s="1"/>
      <c r="IJ622" s="1"/>
      <c r="IK622" s="1"/>
      <c r="IL622" s="1"/>
      <c r="IM622" s="1"/>
      <c r="IN622" s="1"/>
      <c r="IO622" s="1"/>
      <c r="IP622" s="1"/>
      <c r="IQ622" s="1"/>
      <c r="IR622" s="1"/>
      <c r="IS622" s="1"/>
      <c r="IT622" s="1"/>
      <c r="IU622" s="1"/>
    </row>
    <row r="623" spans="14:255" s="30" customFormat="1" ht="12.95" customHeight="1" x14ac:dyDescent="0.2">
      <c r="N623" s="31"/>
      <c r="IB623" s="1"/>
      <c r="IC623" s="1"/>
      <c r="ID623" s="1"/>
      <c r="IE623" s="1"/>
      <c r="IF623" s="1"/>
      <c r="IG623" s="1"/>
      <c r="IH623" s="1"/>
      <c r="II623" s="1"/>
      <c r="IJ623" s="1"/>
      <c r="IK623" s="1"/>
      <c r="IL623" s="1"/>
      <c r="IM623" s="1"/>
      <c r="IN623" s="1"/>
      <c r="IO623" s="1"/>
      <c r="IP623" s="1"/>
      <c r="IQ623" s="1"/>
      <c r="IR623" s="1"/>
      <c r="IS623" s="1"/>
      <c r="IT623" s="1"/>
      <c r="IU623" s="1"/>
    </row>
    <row r="624" spans="14:255" s="30" customFormat="1" ht="12.95" customHeight="1" x14ac:dyDescent="0.2">
      <c r="N624" s="31"/>
      <c r="IB624" s="1"/>
      <c r="IC624" s="1"/>
      <c r="ID624" s="1"/>
      <c r="IE624" s="1"/>
      <c r="IF624" s="1"/>
      <c r="IG624" s="1"/>
      <c r="IH624" s="1"/>
      <c r="II624" s="1"/>
      <c r="IJ624" s="1"/>
      <c r="IK624" s="1"/>
      <c r="IL624" s="1"/>
      <c r="IM624" s="1"/>
      <c r="IN624" s="1"/>
      <c r="IO624" s="1"/>
      <c r="IP624" s="1"/>
      <c r="IQ624" s="1"/>
      <c r="IR624" s="1"/>
      <c r="IS624" s="1"/>
      <c r="IT624" s="1"/>
      <c r="IU624" s="1"/>
    </row>
    <row r="625" spans="14:255" s="30" customFormat="1" ht="12.95" customHeight="1" x14ac:dyDescent="0.2">
      <c r="N625" s="31"/>
      <c r="IB625" s="1"/>
      <c r="IC625" s="1"/>
      <c r="ID625" s="1"/>
      <c r="IE625" s="1"/>
      <c r="IF625" s="1"/>
      <c r="IG625" s="1"/>
      <c r="IH625" s="1"/>
      <c r="II625" s="1"/>
      <c r="IJ625" s="1"/>
      <c r="IK625" s="1"/>
      <c r="IL625" s="1"/>
      <c r="IM625" s="1"/>
      <c r="IN625" s="1"/>
      <c r="IO625" s="1"/>
      <c r="IP625" s="1"/>
      <c r="IQ625" s="1"/>
      <c r="IR625" s="1"/>
      <c r="IS625" s="1"/>
      <c r="IT625" s="1"/>
      <c r="IU625" s="1"/>
    </row>
    <row r="626" spans="14:255" s="30" customFormat="1" ht="12.95" customHeight="1" x14ac:dyDescent="0.2">
      <c r="N626" s="31"/>
      <c r="IB626" s="1"/>
      <c r="IC626" s="1"/>
      <c r="ID626" s="1"/>
      <c r="IE626" s="1"/>
      <c r="IF626" s="1"/>
      <c r="IG626" s="1"/>
      <c r="IH626" s="1"/>
      <c r="II626" s="1"/>
      <c r="IJ626" s="1"/>
      <c r="IK626" s="1"/>
      <c r="IL626" s="1"/>
      <c r="IM626" s="1"/>
      <c r="IN626" s="1"/>
      <c r="IO626" s="1"/>
      <c r="IP626" s="1"/>
      <c r="IQ626" s="1"/>
      <c r="IR626" s="1"/>
      <c r="IS626" s="1"/>
      <c r="IT626" s="1"/>
      <c r="IU626" s="1"/>
    </row>
    <row r="627" spans="14:255" s="30" customFormat="1" ht="12.95" customHeight="1" x14ac:dyDescent="0.2">
      <c r="N627" s="31"/>
      <c r="IB627" s="1"/>
      <c r="IC627" s="1"/>
      <c r="ID627" s="1"/>
      <c r="IE627" s="1"/>
      <c r="IF627" s="1"/>
      <c r="IG627" s="1"/>
      <c r="IH627" s="1"/>
      <c r="II627" s="1"/>
      <c r="IJ627" s="1"/>
      <c r="IK627" s="1"/>
      <c r="IL627" s="1"/>
      <c r="IM627" s="1"/>
      <c r="IN627" s="1"/>
      <c r="IO627" s="1"/>
      <c r="IP627" s="1"/>
      <c r="IQ627" s="1"/>
      <c r="IR627" s="1"/>
      <c r="IS627" s="1"/>
      <c r="IT627" s="1"/>
      <c r="IU627" s="1"/>
    </row>
    <row r="628" spans="14:255" s="30" customFormat="1" ht="12.95" customHeight="1" x14ac:dyDescent="0.2">
      <c r="N628" s="31"/>
      <c r="IB628" s="1"/>
      <c r="IC628" s="1"/>
      <c r="ID628" s="1"/>
      <c r="IE628" s="1"/>
      <c r="IF628" s="1"/>
      <c r="IG628" s="1"/>
      <c r="IH628" s="1"/>
      <c r="II628" s="1"/>
      <c r="IJ628" s="1"/>
      <c r="IK628" s="1"/>
      <c r="IL628" s="1"/>
      <c r="IM628" s="1"/>
      <c r="IN628" s="1"/>
      <c r="IO628" s="1"/>
      <c r="IP628" s="1"/>
      <c r="IQ628" s="1"/>
      <c r="IR628" s="1"/>
      <c r="IS628" s="1"/>
      <c r="IT628" s="1"/>
      <c r="IU628" s="1"/>
    </row>
    <row r="629" spans="14:255" s="30" customFormat="1" ht="12.95" customHeight="1" x14ac:dyDescent="0.2">
      <c r="N629" s="31"/>
      <c r="IB629" s="1"/>
      <c r="IC629" s="1"/>
      <c r="ID629" s="1"/>
      <c r="IE629" s="1"/>
      <c r="IF629" s="1"/>
      <c r="IG629" s="1"/>
      <c r="IH629" s="1"/>
      <c r="II629" s="1"/>
      <c r="IJ629" s="1"/>
      <c r="IK629" s="1"/>
      <c r="IL629" s="1"/>
      <c r="IM629" s="1"/>
      <c r="IN629" s="1"/>
      <c r="IO629" s="1"/>
      <c r="IP629" s="1"/>
      <c r="IQ629" s="1"/>
      <c r="IR629" s="1"/>
      <c r="IS629" s="1"/>
      <c r="IT629" s="1"/>
      <c r="IU629" s="1"/>
    </row>
    <row r="630" spans="14:255" s="30" customFormat="1" ht="12.95" customHeight="1" x14ac:dyDescent="0.2">
      <c r="N630" s="31"/>
      <c r="IB630" s="1"/>
      <c r="IC630" s="1"/>
      <c r="ID630" s="1"/>
      <c r="IE630" s="1"/>
      <c r="IF630" s="1"/>
      <c r="IG630" s="1"/>
      <c r="IH630" s="1"/>
      <c r="II630" s="1"/>
      <c r="IJ630" s="1"/>
      <c r="IK630" s="1"/>
      <c r="IL630" s="1"/>
      <c r="IM630" s="1"/>
      <c r="IN630" s="1"/>
      <c r="IO630" s="1"/>
      <c r="IP630" s="1"/>
      <c r="IQ630" s="1"/>
      <c r="IR630" s="1"/>
      <c r="IS630" s="1"/>
      <c r="IT630" s="1"/>
      <c r="IU630" s="1"/>
    </row>
    <row r="631" spans="14:255" s="30" customFormat="1" ht="12.95" customHeight="1" x14ac:dyDescent="0.2">
      <c r="N631" s="31"/>
      <c r="IB631" s="1"/>
      <c r="IC631" s="1"/>
      <c r="ID631" s="1"/>
      <c r="IE631" s="1"/>
      <c r="IF631" s="1"/>
      <c r="IG631" s="1"/>
      <c r="IH631" s="1"/>
      <c r="II631" s="1"/>
      <c r="IJ631" s="1"/>
      <c r="IK631" s="1"/>
      <c r="IL631" s="1"/>
      <c r="IM631" s="1"/>
      <c r="IN631" s="1"/>
      <c r="IO631" s="1"/>
      <c r="IP631" s="1"/>
      <c r="IQ631" s="1"/>
      <c r="IR631" s="1"/>
      <c r="IS631" s="1"/>
      <c r="IT631" s="1"/>
      <c r="IU631" s="1"/>
    </row>
    <row r="632" spans="14:255" s="30" customFormat="1" ht="12.95" customHeight="1" x14ac:dyDescent="0.2">
      <c r="N632" s="31"/>
      <c r="IB632" s="1"/>
      <c r="IC632" s="1"/>
      <c r="ID632" s="1"/>
      <c r="IE632" s="1"/>
      <c r="IF632" s="1"/>
      <c r="IG632" s="1"/>
      <c r="IH632" s="1"/>
      <c r="II632" s="1"/>
      <c r="IJ632" s="1"/>
      <c r="IK632" s="1"/>
      <c r="IL632" s="1"/>
      <c r="IM632" s="1"/>
      <c r="IN632" s="1"/>
      <c r="IO632" s="1"/>
      <c r="IP632" s="1"/>
      <c r="IQ632" s="1"/>
      <c r="IR632" s="1"/>
      <c r="IS632" s="1"/>
      <c r="IT632" s="1"/>
      <c r="IU632" s="1"/>
    </row>
    <row r="633" spans="14:255" s="30" customFormat="1" ht="12.95" customHeight="1" x14ac:dyDescent="0.2">
      <c r="N633" s="31"/>
      <c r="IB633" s="1"/>
      <c r="IC633" s="1"/>
      <c r="ID633" s="1"/>
      <c r="IE633" s="1"/>
      <c r="IF633" s="1"/>
      <c r="IG633" s="1"/>
      <c r="IH633" s="1"/>
      <c r="II633" s="1"/>
      <c r="IJ633" s="1"/>
      <c r="IK633" s="1"/>
      <c r="IL633" s="1"/>
      <c r="IM633" s="1"/>
      <c r="IN633" s="1"/>
      <c r="IO633" s="1"/>
      <c r="IP633" s="1"/>
      <c r="IQ633" s="1"/>
      <c r="IR633" s="1"/>
      <c r="IS633" s="1"/>
      <c r="IT633" s="1"/>
      <c r="IU633" s="1"/>
    </row>
    <row r="634" spans="14:255" s="30" customFormat="1" ht="12.95" customHeight="1" x14ac:dyDescent="0.2">
      <c r="N634" s="31"/>
      <c r="IB634" s="1"/>
      <c r="IC634" s="1"/>
      <c r="ID634" s="1"/>
      <c r="IE634" s="1"/>
      <c r="IF634" s="1"/>
      <c r="IG634" s="1"/>
      <c r="IH634" s="1"/>
      <c r="II634" s="1"/>
      <c r="IJ634" s="1"/>
      <c r="IK634" s="1"/>
      <c r="IL634" s="1"/>
      <c r="IM634" s="1"/>
      <c r="IN634" s="1"/>
      <c r="IO634" s="1"/>
      <c r="IP634" s="1"/>
      <c r="IQ634" s="1"/>
      <c r="IR634" s="1"/>
      <c r="IS634" s="1"/>
      <c r="IT634" s="1"/>
      <c r="IU634" s="1"/>
    </row>
    <row r="635" spans="14:255" s="30" customFormat="1" ht="12.95" customHeight="1" x14ac:dyDescent="0.2">
      <c r="N635" s="31"/>
      <c r="IB635" s="1"/>
      <c r="IC635" s="1"/>
      <c r="ID635" s="1"/>
      <c r="IE635" s="1"/>
      <c r="IF635" s="1"/>
      <c r="IG635" s="1"/>
      <c r="IH635" s="1"/>
      <c r="II635" s="1"/>
      <c r="IJ635" s="1"/>
      <c r="IK635" s="1"/>
      <c r="IL635" s="1"/>
      <c r="IM635" s="1"/>
      <c r="IN635" s="1"/>
      <c r="IO635" s="1"/>
      <c r="IP635" s="1"/>
      <c r="IQ635" s="1"/>
      <c r="IR635" s="1"/>
      <c r="IS635" s="1"/>
      <c r="IT635" s="1"/>
      <c r="IU635" s="1"/>
    </row>
    <row r="636" spans="14:255" s="30" customFormat="1" ht="12.95" customHeight="1" x14ac:dyDescent="0.2">
      <c r="N636" s="31"/>
      <c r="IB636" s="1"/>
      <c r="IC636" s="1"/>
      <c r="ID636" s="1"/>
      <c r="IE636" s="1"/>
      <c r="IF636" s="1"/>
      <c r="IG636" s="1"/>
      <c r="IH636" s="1"/>
      <c r="II636" s="1"/>
      <c r="IJ636" s="1"/>
      <c r="IK636" s="1"/>
      <c r="IL636" s="1"/>
      <c r="IM636" s="1"/>
      <c r="IN636" s="1"/>
      <c r="IO636" s="1"/>
      <c r="IP636" s="1"/>
      <c r="IQ636" s="1"/>
      <c r="IR636" s="1"/>
      <c r="IS636" s="1"/>
      <c r="IT636" s="1"/>
      <c r="IU636" s="1"/>
    </row>
    <row r="637" spans="14:255" s="30" customFormat="1" ht="12.95" customHeight="1" x14ac:dyDescent="0.2">
      <c r="N637" s="31"/>
      <c r="IB637" s="1"/>
      <c r="IC637" s="1"/>
      <c r="ID637" s="1"/>
      <c r="IE637" s="1"/>
      <c r="IF637" s="1"/>
      <c r="IG637" s="1"/>
      <c r="IH637" s="1"/>
      <c r="II637" s="1"/>
      <c r="IJ637" s="1"/>
      <c r="IK637" s="1"/>
      <c r="IL637" s="1"/>
      <c r="IM637" s="1"/>
      <c r="IN637" s="1"/>
      <c r="IO637" s="1"/>
      <c r="IP637" s="1"/>
      <c r="IQ637" s="1"/>
      <c r="IR637" s="1"/>
      <c r="IS637" s="1"/>
      <c r="IT637" s="1"/>
      <c r="IU637" s="1"/>
    </row>
    <row r="638" spans="14:255" s="30" customFormat="1" ht="12.95" customHeight="1" x14ac:dyDescent="0.2">
      <c r="N638" s="31"/>
      <c r="IB638" s="1"/>
      <c r="IC638" s="1"/>
      <c r="ID638" s="1"/>
      <c r="IE638" s="1"/>
      <c r="IF638" s="1"/>
      <c r="IG638" s="1"/>
      <c r="IH638" s="1"/>
      <c r="II638" s="1"/>
      <c r="IJ638" s="1"/>
      <c r="IK638" s="1"/>
      <c r="IL638" s="1"/>
      <c r="IM638" s="1"/>
      <c r="IN638" s="1"/>
      <c r="IO638" s="1"/>
      <c r="IP638" s="1"/>
      <c r="IQ638" s="1"/>
      <c r="IR638" s="1"/>
      <c r="IS638" s="1"/>
      <c r="IT638" s="1"/>
      <c r="IU638" s="1"/>
    </row>
    <row r="639" spans="14:255" s="30" customFormat="1" ht="12.95" customHeight="1" x14ac:dyDescent="0.2">
      <c r="N639" s="31"/>
      <c r="IB639" s="1"/>
      <c r="IC639" s="1"/>
      <c r="ID639" s="1"/>
      <c r="IE639" s="1"/>
      <c r="IF639" s="1"/>
      <c r="IG639" s="1"/>
      <c r="IH639" s="1"/>
      <c r="II639" s="1"/>
      <c r="IJ639" s="1"/>
      <c r="IK639" s="1"/>
      <c r="IL639" s="1"/>
      <c r="IM639" s="1"/>
      <c r="IN639" s="1"/>
      <c r="IO639" s="1"/>
      <c r="IP639" s="1"/>
      <c r="IQ639" s="1"/>
      <c r="IR639" s="1"/>
      <c r="IS639" s="1"/>
      <c r="IT639" s="1"/>
      <c r="IU639" s="1"/>
    </row>
    <row r="640" spans="14:255" s="30" customFormat="1" ht="12.95" customHeight="1" x14ac:dyDescent="0.2">
      <c r="N640" s="31"/>
      <c r="IB640" s="1"/>
      <c r="IC640" s="1"/>
      <c r="ID640" s="1"/>
      <c r="IE640" s="1"/>
      <c r="IF640" s="1"/>
      <c r="IG640" s="1"/>
      <c r="IH640" s="1"/>
      <c r="II640" s="1"/>
      <c r="IJ640" s="1"/>
      <c r="IK640" s="1"/>
      <c r="IL640" s="1"/>
      <c r="IM640" s="1"/>
      <c r="IN640" s="1"/>
      <c r="IO640" s="1"/>
      <c r="IP640" s="1"/>
      <c r="IQ640" s="1"/>
      <c r="IR640" s="1"/>
      <c r="IS640" s="1"/>
      <c r="IT640" s="1"/>
      <c r="IU640" s="1"/>
    </row>
    <row r="641" spans="14:255" s="30" customFormat="1" ht="12.95" customHeight="1" x14ac:dyDescent="0.2">
      <c r="N641" s="31"/>
      <c r="IB641" s="1"/>
      <c r="IC641" s="1"/>
      <c r="ID641" s="1"/>
      <c r="IE641" s="1"/>
      <c r="IF641" s="1"/>
      <c r="IG641" s="1"/>
      <c r="IH641" s="1"/>
      <c r="II641" s="1"/>
      <c r="IJ641" s="1"/>
      <c r="IK641" s="1"/>
      <c r="IL641" s="1"/>
      <c r="IM641" s="1"/>
      <c r="IN641" s="1"/>
      <c r="IO641" s="1"/>
      <c r="IP641" s="1"/>
      <c r="IQ641" s="1"/>
      <c r="IR641" s="1"/>
      <c r="IS641" s="1"/>
      <c r="IT641" s="1"/>
      <c r="IU641" s="1"/>
    </row>
    <row r="642" spans="14:255" s="30" customFormat="1" ht="12.95" customHeight="1" x14ac:dyDescent="0.2">
      <c r="N642" s="31"/>
      <c r="IB642" s="1"/>
      <c r="IC642" s="1"/>
      <c r="ID642" s="1"/>
      <c r="IE642" s="1"/>
      <c r="IF642" s="1"/>
      <c r="IG642" s="1"/>
      <c r="IH642" s="1"/>
      <c r="II642" s="1"/>
      <c r="IJ642" s="1"/>
      <c r="IK642" s="1"/>
      <c r="IL642" s="1"/>
      <c r="IM642" s="1"/>
      <c r="IN642" s="1"/>
      <c r="IO642" s="1"/>
      <c r="IP642" s="1"/>
      <c r="IQ642" s="1"/>
      <c r="IR642" s="1"/>
      <c r="IS642" s="1"/>
      <c r="IT642" s="1"/>
      <c r="IU642" s="1"/>
    </row>
    <row r="643" spans="14:255" s="30" customFormat="1" ht="12.95" customHeight="1" x14ac:dyDescent="0.2">
      <c r="N643" s="31"/>
      <c r="IB643" s="1"/>
      <c r="IC643" s="1"/>
      <c r="ID643" s="1"/>
      <c r="IE643" s="1"/>
      <c r="IF643" s="1"/>
      <c r="IG643" s="1"/>
      <c r="IH643" s="1"/>
      <c r="II643" s="1"/>
      <c r="IJ643" s="1"/>
      <c r="IK643" s="1"/>
      <c r="IL643" s="1"/>
      <c r="IM643" s="1"/>
      <c r="IN643" s="1"/>
      <c r="IO643" s="1"/>
      <c r="IP643" s="1"/>
      <c r="IQ643" s="1"/>
      <c r="IR643" s="1"/>
      <c r="IS643" s="1"/>
      <c r="IT643" s="1"/>
      <c r="IU643" s="1"/>
    </row>
    <row r="644" spans="14:255" s="30" customFormat="1" ht="12.95" customHeight="1" x14ac:dyDescent="0.2">
      <c r="N644" s="31"/>
      <c r="IB644" s="1"/>
      <c r="IC644" s="1"/>
      <c r="ID644" s="1"/>
      <c r="IE644" s="1"/>
      <c r="IF644" s="1"/>
      <c r="IG644" s="1"/>
      <c r="IH644" s="1"/>
      <c r="II644" s="1"/>
      <c r="IJ644" s="1"/>
      <c r="IK644" s="1"/>
      <c r="IL644" s="1"/>
      <c r="IM644" s="1"/>
      <c r="IN644" s="1"/>
      <c r="IO644" s="1"/>
      <c r="IP644" s="1"/>
      <c r="IQ644" s="1"/>
      <c r="IR644" s="1"/>
      <c r="IS644" s="1"/>
      <c r="IT644" s="1"/>
      <c r="IU644" s="1"/>
    </row>
    <row r="645" spans="14:255" s="30" customFormat="1" ht="12.95" customHeight="1" x14ac:dyDescent="0.2">
      <c r="N645" s="31"/>
      <c r="IB645" s="1"/>
      <c r="IC645" s="1"/>
      <c r="ID645" s="1"/>
      <c r="IE645" s="1"/>
      <c r="IF645" s="1"/>
      <c r="IG645" s="1"/>
      <c r="IH645" s="1"/>
      <c r="II645" s="1"/>
      <c r="IJ645" s="1"/>
      <c r="IK645" s="1"/>
      <c r="IL645" s="1"/>
      <c r="IM645" s="1"/>
      <c r="IN645" s="1"/>
      <c r="IO645" s="1"/>
      <c r="IP645" s="1"/>
      <c r="IQ645" s="1"/>
      <c r="IR645" s="1"/>
      <c r="IS645" s="1"/>
      <c r="IT645" s="1"/>
      <c r="IU645" s="1"/>
    </row>
    <row r="646" spans="14:255" s="30" customFormat="1" ht="12.95" customHeight="1" x14ac:dyDescent="0.2">
      <c r="N646" s="31"/>
      <c r="IB646" s="1"/>
      <c r="IC646" s="1"/>
      <c r="ID646" s="1"/>
      <c r="IE646" s="1"/>
      <c r="IF646" s="1"/>
      <c r="IG646" s="1"/>
      <c r="IH646" s="1"/>
      <c r="II646" s="1"/>
      <c r="IJ646" s="1"/>
      <c r="IK646" s="1"/>
      <c r="IL646" s="1"/>
      <c r="IM646" s="1"/>
      <c r="IN646" s="1"/>
      <c r="IO646" s="1"/>
      <c r="IP646" s="1"/>
      <c r="IQ646" s="1"/>
      <c r="IR646" s="1"/>
      <c r="IS646" s="1"/>
      <c r="IT646" s="1"/>
      <c r="IU646" s="1"/>
    </row>
    <row r="647" spans="14:255" s="30" customFormat="1" ht="12.95" customHeight="1" x14ac:dyDescent="0.2">
      <c r="N647" s="31"/>
      <c r="IB647" s="1"/>
      <c r="IC647" s="1"/>
      <c r="ID647" s="1"/>
      <c r="IE647" s="1"/>
      <c r="IF647" s="1"/>
      <c r="IG647" s="1"/>
      <c r="IH647" s="1"/>
      <c r="II647" s="1"/>
      <c r="IJ647" s="1"/>
      <c r="IK647" s="1"/>
      <c r="IL647" s="1"/>
      <c r="IM647" s="1"/>
      <c r="IN647" s="1"/>
      <c r="IO647" s="1"/>
      <c r="IP647" s="1"/>
      <c r="IQ647" s="1"/>
      <c r="IR647" s="1"/>
      <c r="IS647" s="1"/>
      <c r="IT647" s="1"/>
      <c r="IU647" s="1"/>
    </row>
    <row r="648" spans="14:255" s="30" customFormat="1" ht="12.95" customHeight="1" x14ac:dyDescent="0.2">
      <c r="N648" s="31"/>
      <c r="IB648" s="1"/>
      <c r="IC648" s="1"/>
      <c r="ID648" s="1"/>
      <c r="IE648" s="1"/>
      <c r="IF648" s="1"/>
      <c r="IG648" s="1"/>
      <c r="IH648" s="1"/>
      <c r="II648" s="1"/>
      <c r="IJ648" s="1"/>
      <c r="IK648" s="1"/>
      <c r="IL648" s="1"/>
      <c r="IM648" s="1"/>
      <c r="IN648" s="1"/>
      <c r="IO648" s="1"/>
      <c r="IP648" s="1"/>
      <c r="IQ648" s="1"/>
      <c r="IR648" s="1"/>
      <c r="IS648" s="1"/>
      <c r="IT648" s="1"/>
      <c r="IU648" s="1"/>
    </row>
    <row r="649" spans="14:255" s="30" customFormat="1" ht="12.95" customHeight="1" x14ac:dyDescent="0.2">
      <c r="N649" s="31"/>
      <c r="IB649" s="1"/>
      <c r="IC649" s="1"/>
      <c r="ID649" s="1"/>
      <c r="IE649" s="1"/>
      <c r="IF649" s="1"/>
      <c r="IG649" s="1"/>
      <c r="IH649" s="1"/>
      <c r="II649" s="1"/>
      <c r="IJ649" s="1"/>
      <c r="IK649" s="1"/>
      <c r="IL649" s="1"/>
      <c r="IM649" s="1"/>
      <c r="IN649" s="1"/>
      <c r="IO649" s="1"/>
      <c r="IP649" s="1"/>
      <c r="IQ649" s="1"/>
      <c r="IR649" s="1"/>
      <c r="IS649" s="1"/>
      <c r="IT649" s="1"/>
      <c r="IU649" s="1"/>
    </row>
    <row r="650" spans="14:255" s="30" customFormat="1" ht="12.95" customHeight="1" x14ac:dyDescent="0.2">
      <c r="N650" s="31"/>
      <c r="IB650" s="1"/>
      <c r="IC650" s="1"/>
      <c r="ID650" s="1"/>
      <c r="IE650" s="1"/>
      <c r="IF650" s="1"/>
      <c r="IG650" s="1"/>
      <c r="IH650" s="1"/>
      <c r="II650" s="1"/>
      <c r="IJ650" s="1"/>
      <c r="IK650" s="1"/>
      <c r="IL650" s="1"/>
      <c r="IM650" s="1"/>
      <c r="IN650" s="1"/>
      <c r="IO650" s="1"/>
      <c r="IP650" s="1"/>
      <c r="IQ650" s="1"/>
      <c r="IR650" s="1"/>
      <c r="IS650" s="1"/>
      <c r="IT650" s="1"/>
      <c r="IU650" s="1"/>
    </row>
    <row r="651" spans="14:255" s="30" customFormat="1" ht="12.95" customHeight="1" x14ac:dyDescent="0.2">
      <c r="N651" s="31"/>
      <c r="IB651" s="1"/>
      <c r="IC651" s="1"/>
      <c r="ID651" s="1"/>
      <c r="IE651" s="1"/>
      <c r="IF651" s="1"/>
      <c r="IG651" s="1"/>
      <c r="IH651" s="1"/>
      <c r="II651" s="1"/>
      <c r="IJ651" s="1"/>
      <c r="IK651" s="1"/>
      <c r="IL651" s="1"/>
      <c r="IM651" s="1"/>
      <c r="IN651" s="1"/>
      <c r="IO651" s="1"/>
      <c r="IP651" s="1"/>
      <c r="IQ651" s="1"/>
      <c r="IR651" s="1"/>
      <c r="IS651" s="1"/>
      <c r="IT651" s="1"/>
      <c r="IU651" s="1"/>
    </row>
    <row r="652" spans="14:255" s="30" customFormat="1" ht="12.95" customHeight="1" x14ac:dyDescent="0.2">
      <c r="N652" s="31"/>
      <c r="IB652" s="1"/>
      <c r="IC652" s="1"/>
      <c r="ID652" s="1"/>
      <c r="IE652" s="1"/>
      <c r="IF652" s="1"/>
      <c r="IG652" s="1"/>
      <c r="IH652" s="1"/>
      <c r="II652" s="1"/>
      <c r="IJ652" s="1"/>
      <c r="IK652" s="1"/>
      <c r="IL652" s="1"/>
      <c r="IM652" s="1"/>
      <c r="IN652" s="1"/>
      <c r="IO652" s="1"/>
      <c r="IP652" s="1"/>
      <c r="IQ652" s="1"/>
      <c r="IR652" s="1"/>
      <c r="IS652" s="1"/>
      <c r="IT652" s="1"/>
      <c r="IU652" s="1"/>
    </row>
    <row r="653" spans="14:255" s="30" customFormat="1" ht="12.95" customHeight="1" x14ac:dyDescent="0.2">
      <c r="N653" s="31"/>
      <c r="IB653" s="1"/>
      <c r="IC653" s="1"/>
      <c r="ID653" s="1"/>
      <c r="IE653" s="1"/>
      <c r="IF653" s="1"/>
      <c r="IG653" s="1"/>
      <c r="IH653" s="1"/>
      <c r="II653" s="1"/>
      <c r="IJ653" s="1"/>
      <c r="IK653" s="1"/>
      <c r="IL653" s="1"/>
      <c r="IM653" s="1"/>
      <c r="IN653" s="1"/>
      <c r="IO653" s="1"/>
      <c r="IP653" s="1"/>
      <c r="IQ653" s="1"/>
      <c r="IR653" s="1"/>
      <c r="IS653" s="1"/>
      <c r="IT653" s="1"/>
      <c r="IU653" s="1"/>
    </row>
    <row r="654" spans="14:255" s="30" customFormat="1" ht="12.95" customHeight="1" x14ac:dyDescent="0.2">
      <c r="N654" s="31"/>
      <c r="IB654" s="1"/>
      <c r="IC654" s="1"/>
      <c r="ID654" s="1"/>
      <c r="IE654" s="1"/>
      <c r="IF654" s="1"/>
      <c r="IG654" s="1"/>
      <c r="IH654" s="1"/>
      <c r="II654" s="1"/>
      <c r="IJ654" s="1"/>
      <c r="IK654" s="1"/>
      <c r="IL654" s="1"/>
      <c r="IM654" s="1"/>
      <c r="IN654" s="1"/>
      <c r="IO654" s="1"/>
      <c r="IP654" s="1"/>
      <c r="IQ654" s="1"/>
      <c r="IR654" s="1"/>
      <c r="IS654" s="1"/>
      <c r="IT654" s="1"/>
      <c r="IU654" s="1"/>
    </row>
    <row r="655" spans="14:255" s="30" customFormat="1" ht="12.95" customHeight="1" x14ac:dyDescent="0.2">
      <c r="N655" s="31"/>
      <c r="IB655" s="1"/>
      <c r="IC655" s="1"/>
      <c r="ID655" s="1"/>
      <c r="IE655" s="1"/>
      <c r="IF655" s="1"/>
      <c r="IG655" s="1"/>
      <c r="IH655" s="1"/>
      <c r="II655" s="1"/>
      <c r="IJ655" s="1"/>
      <c r="IK655" s="1"/>
      <c r="IL655" s="1"/>
      <c r="IM655" s="1"/>
      <c r="IN655" s="1"/>
      <c r="IO655" s="1"/>
      <c r="IP655" s="1"/>
      <c r="IQ655" s="1"/>
      <c r="IR655" s="1"/>
      <c r="IS655" s="1"/>
      <c r="IT655" s="1"/>
      <c r="IU655" s="1"/>
    </row>
    <row r="656" spans="14:255" s="30" customFormat="1" ht="12.95" customHeight="1" x14ac:dyDescent="0.2">
      <c r="N656" s="31"/>
      <c r="IB656" s="1"/>
      <c r="IC656" s="1"/>
      <c r="ID656" s="1"/>
      <c r="IE656" s="1"/>
      <c r="IF656" s="1"/>
      <c r="IG656" s="1"/>
      <c r="IH656" s="1"/>
      <c r="II656" s="1"/>
      <c r="IJ656" s="1"/>
      <c r="IK656" s="1"/>
      <c r="IL656" s="1"/>
      <c r="IM656" s="1"/>
      <c r="IN656" s="1"/>
      <c r="IO656" s="1"/>
      <c r="IP656" s="1"/>
      <c r="IQ656" s="1"/>
      <c r="IR656" s="1"/>
      <c r="IS656" s="1"/>
      <c r="IT656" s="1"/>
      <c r="IU656" s="1"/>
    </row>
    <row r="657" spans="14:255" s="30" customFormat="1" ht="12.95" customHeight="1" x14ac:dyDescent="0.2">
      <c r="N657" s="31"/>
      <c r="IB657" s="1"/>
      <c r="IC657" s="1"/>
      <c r="ID657" s="1"/>
      <c r="IE657" s="1"/>
      <c r="IF657" s="1"/>
      <c r="IG657" s="1"/>
      <c r="IH657" s="1"/>
      <c r="II657" s="1"/>
      <c r="IJ657" s="1"/>
      <c r="IK657" s="1"/>
      <c r="IL657" s="1"/>
      <c r="IM657" s="1"/>
      <c r="IN657" s="1"/>
      <c r="IO657" s="1"/>
      <c r="IP657" s="1"/>
      <c r="IQ657" s="1"/>
      <c r="IR657" s="1"/>
      <c r="IS657" s="1"/>
      <c r="IT657" s="1"/>
      <c r="IU657" s="1"/>
    </row>
    <row r="658" spans="14:255" s="30" customFormat="1" ht="12.95" customHeight="1" x14ac:dyDescent="0.2">
      <c r="N658" s="31"/>
      <c r="IB658" s="1"/>
      <c r="IC658" s="1"/>
      <c r="ID658" s="1"/>
      <c r="IE658" s="1"/>
      <c r="IF658" s="1"/>
      <c r="IG658" s="1"/>
      <c r="IH658" s="1"/>
      <c r="II658" s="1"/>
      <c r="IJ658" s="1"/>
      <c r="IK658" s="1"/>
      <c r="IL658" s="1"/>
      <c r="IM658" s="1"/>
      <c r="IN658" s="1"/>
      <c r="IO658" s="1"/>
      <c r="IP658" s="1"/>
      <c r="IQ658" s="1"/>
      <c r="IR658" s="1"/>
      <c r="IS658" s="1"/>
      <c r="IT658" s="1"/>
      <c r="IU658" s="1"/>
    </row>
    <row r="659" spans="14:255" s="30" customFormat="1" ht="12.95" customHeight="1" x14ac:dyDescent="0.2">
      <c r="N659" s="31"/>
      <c r="IB659" s="1"/>
      <c r="IC659" s="1"/>
      <c r="ID659" s="1"/>
      <c r="IE659" s="1"/>
      <c r="IF659" s="1"/>
      <c r="IG659" s="1"/>
      <c r="IH659" s="1"/>
      <c r="II659" s="1"/>
      <c r="IJ659" s="1"/>
      <c r="IK659" s="1"/>
      <c r="IL659" s="1"/>
      <c r="IM659" s="1"/>
      <c r="IN659" s="1"/>
      <c r="IO659" s="1"/>
      <c r="IP659" s="1"/>
      <c r="IQ659" s="1"/>
      <c r="IR659" s="1"/>
      <c r="IS659" s="1"/>
      <c r="IT659" s="1"/>
      <c r="IU659" s="1"/>
    </row>
    <row r="660" spans="14:255" s="30" customFormat="1" ht="12.95" customHeight="1" x14ac:dyDescent="0.2">
      <c r="N660" s="31"/>
      <c r="IB660" s="1"/>
      <c r="IC660" s="1"/>
      <c r="ID660" s="1"/>
      <c r="IE660" s="1"/>
      <c r="IF660" s="1"/>
      <c r="IG660" s="1"/>
      <c r="IH660" s="1"/>
      <c r="II660" s="1"/>
      <c r="IJ660" s="1"/>
      <c r="IK660" s="1"/>
      <c r="IL660" s="1"/>
      <c r="IM660" s="1"/>
      <c r="IN660" s="1"/>
      <c r="IO660" s="1"/>
      <c r="IP660" s="1"/>
      <c r="IQ660" s="1"/>
      <c r="IR660" s="1"/>
      <c r="IS660" s="1"/>
      <c r="IT660" s="1"/>
      <c r="IU660" s="1"/>
    </row>
    <row r="661" spans="14:255" s="30" customFormat="1" ht="12.95" customHeight="1" x14ac:dyDescent="0.2">
      <c r="N661" s="31"/>
      <c r="IB661" s="1"/>
      <c r="IC661" s="1"/>
      <c r="ID661" s="1"/>
      <c r="IE661" s="1"/>
      <c r="IF661" s="1"/>
      <c r="IG661" s="1"/>
      <c r="IH661" s="1"/>
      <c r="II661" s="1"/>
      <c r="IJ661" s="1"/>
      <c r="IK661" s="1"/>
      <c r="IL661" s="1"/>
      <c r="IM661" s="1"/>
      <c r="IN661" s="1"/>
      <c r="IO661" s="1"/>
      <c r="IP661" s="1"/>
      <c r="IQ661" s="1"/>
      <c r="IR661" s="1"/>
      <c r="IS661" s="1"/>
      <c r="IT661" s="1"/>
      <c r="IU661" s="1"/>
    </row>
    <row r="662" spans="14:255" s="30" customFormat="1" ht="12.95" customHeight="1" x14ac:dyDescent="0.2">
      <c r="N662" s="31"/>
      <c r="IB662" s="1"/>
      <c r="IC662" s="1"/>
      <c r="ID662" s="1"/>
      <c r="IE662" s="1"/>
      <c r="IF662" s="1"/>
      <c r="IG662" s="1"/>
      <c r="IH662" s="1"/>
      <c r="II662" s="1"/>
      <c r="IJ662" s="1"/>
      <c r="IK662" s="1"/>
      <c r="IL662" s="1"/>
      <c r="IM662" s="1"/>
      <c r="IN662" s="1"/>
      <c r="IO662" s="1"/>
      <c r="IP662" s="1"/>
      <c r="IQ662" s="1"/>
      <c r="IR662" s="1"/>
      <c r="IS662" s="1"/>
      <c r="IT662" s="1"/>
      <c r="IU662" s="1"/>
    </row>
    <row r="663" spans="14:255" s="30" customFormat="1" ht="12.95" customHeight="1" x14ac:dyDescent="0.2">
      <c r="N663" s="31"/>
      <c r="IB663" s="1"/>
      <c r="IC663" s="1"/>
      <c r="ID663" s="1"/>
      <c r="IE663" s="1"/>
      <c r="IF663" s="1"/>
      <c r="IG663" s="1"/>
      <c r="IH663" s="1"/>
      <c r="II663" s="1"/>
      <c r="IJ663" s="1"/>
      <c r="IK663" s="1"/>
      <c r="IL663" s="1"/>
      <c r="IM663" s="1"/>
      <c r="IN663" s="1"/>
      <c r="IO663" s="1"/>
      <c r="IP663" s="1"/>
      <c r="IQ663" s="1"/>
      <c r="IR663" s="1"/>
      <c r="IS663" s="1"/>
      <c r="IT663" s="1"/>
      <c r="IU663" s="1"/>
    </row>
    <row r="664" spans="14:255" s="30" customFormat="1" ht="12.95" customHeight="1" x14ac:dyDescent="0.2">
      <c r="N664" s="31"/>
      <c r="IB664" s="1"/>
      <c r="IC664" s="1"/>
      <c r="ID664" s="1"/>
      <c r="IE664" s="1"/>
      <c r="IF664" s="1"/>
      <c r="IG664" s="1"/>
      <c r="IH664" s="1"/>
      <c r="II664" s="1"/>
      <c r="IJ664" s="1"/>
      <c r="IK664" s="1"/>
      <c r="IL664" s="1"/>
      <c r="IM664" s="1"/>
      <c r="IN664" s="1"/>
      <c r="IO664" s="1"/>
      <c r="IP664" s="1"/>
      <c r="IQ664" s="1"/>
      <c r="IR664" s="1"/>
      <c r="IS664" s="1"/>
      <c r="IT664" s="1"/>
      <c r="IU664" s="1"/>
    </row>
    <row r="665" spans="14:255" s="30" customFormat="1" ht="12.95" customHeight="1" x14ac:dyDescent="0.2">
      <c r="N665" s="31"/>
      <c r="IB665" s="1"/>
      <c r="IC665" s="1"/>
      <c r="ID665" s="1"/>
      <c r="IE665" s="1"/>
      <c r="IF665" s="1"/>
      <c r="IG665" s="1"/>
      <c r="IH665" s="1"/>
      <c r="II665" s="1"/>
      <c r="IJ665" s="1"/>
      <c r="IK665" s="1"/>
      <c r="IL665" s="1"/>
      <c r="IM665" s="1"/>
      <c r="IN665" s="1"/>
      <c r="IO665" s="1"/>
      <c r="IP665" s="1"/>
      <c r="IQ665" s="1"/>
      <c r="IR665" s="1"/>
      <c r="IS665" s="1"/>
      <c r="IT665" s="1"/>
      <c r="IU665" s="1"/>
    </row>
    <row r="666" spans="14:255" s="30" customFormat="1" ht="12.95" customHeight="1" x14ac:dyDescent="0.2">
      <c r="N666" s="31"/>
      <c r="IB666" s="1"/>
      <c r="IC666" s="1"/>
      <c r="ID666" s="1"/>
      <c r="IE666" s="1"/>
      <c r="IF666" s="1"/>
      <c r="IG666" s="1"/>
      <c r="IH666" s="1"/>
      <c r="II666" s="1"/>
      <c r="IJ666" s="1"/>
      <c r="IK666" s="1"/>
      <c r="IL666" s="1"/>
      <c r="IM666" s="1"/>
      <c r="IN666" s="1"/>
      <c r="IO666" s="1"/>
      <c r="IP666" s="1"/>
      <c r="IQ666" s="1"/>
      <c r="IR666" s="1"/>
      <c r="IS666" s="1"/>
      <c r="IT666" s="1"/>
      <c r="IU666" s="1"/>
    </row>
    <row r="667" spans="14:255" s="30" customFormat="1" ht="12.95" customHeight="1" x14ac:dyDescent="0.2">
      <c r="N667" s="31"/>
      <c r="IB667" s="1"/>
      <c r="IC667" s="1"/>
      <c r="ID667" s="1"/>
      <c r="IE667" s="1"/>
      <c r="IF667" s="1"/>
      <c r="IG667" s="1"/>
      <c r="IH667" s="1"/>
      <c r="II667" s="1"/>
      <c r="IJ667" s="1"/>
      <c r="IK667" s="1"/>
      <c r="IL667" s="1"/>
      <c r="IM667" s="1"/>
      <c r="IN667" s="1"/>
      <c r="IO667" s="1"/>
      <c r="IP667" s="1"/>
      <c r="IQ667" s="1"/>
      <c r="IR667" s="1"/>
      <c r="IS667" s="1"/>
      <c r="IT667" s="1"/>
      <c r="IU667" s="1"/>
    </row>
    <row r="668" spans="14:255" s="30" customFormat="1" ht="12.95" customHeight="1" x14ac:dyDescent="0.2">
      <c r="N668" s="31"/>
      <c r="IB668" s="1"/>
      <c r="IC668" s="1"/>
      <c r="ID668" s="1"/>
      <c r="IE668" s="1"/>
      <c r="IF668" s="1"/>
      <c r="IG668" s="1"/>
      <c r="IH668" s="1"/>
      <c r="II668" s="1"/>
      <c r="IJ668" s="1"/>
      <c r="IK668" s="1"/>
      <c r="IL668" s="1"/>
      <c r="IM668" s="1"/>
      <c r="IN668" s="1"/>
      <c r="IO668" s="1"/>
      <c r="IP668" s="1"/>
      <c r="IQ668" s="1"/>
      <c r="IR668" s="1"/>
      <c r="IS668" s="1"/>
      <c r="IT668" s="1"/>
      <c r="IU668" s="1"/>
    </row>
    <row r="669" spans="14:255" s="30" customFormat="1" ht="12.95" customHeight="1" x14ac:dyDescent="0.2">
      <c r="N669" s="31"/>
      <c r="IB669" s="1"/>
      <c r="IC669" s="1"/>
      <c r="ID669" s="1"/>
      <c r="IE669" s="1"/>
      <c r="IF669" s="1"/>
      <c r="IG669" s="1"/>
      <c r="IH669" s="1"/>
      <c r="II669" s="1"/>
      <c r="IJ669" s="1"/>
      <c r="IK669" s="1"/>
      <c r="IL669" s="1"/>
      <c r="IM669" s="1"/>
      <c r="IN669" s="1"/>
      <c r="IO669" s="1"/>
      <c r="IP669" s="1"/>
      <c r="IQ669" s="1"/>
      <c r="IR669" s="1"/>
      <c r="IS669" s="1"/>
      <c r="IT669" s="1"/>
      <c r="IU669" s="1"/>
    </row>
    <row r="670" spans="14:255" s="30" customFormat="1" ht="12.95" customHeight="1" x14ac:dyDescent="0.2">
      <c r="N670" s="31"/>
      <c r="IB670" s="1"/>
      <c r="IC670" s="1"/>
      <c r="ID670" s="1"/>
      <c r="IE670" s="1"/>
      <c r="IF670" s="1"/>
      <c r="IG670" s="1"/>
      <c r="IH670" s="1"/>
      <c r="II670" s="1"/>
      <c r="IJ670" s="1"/>
      <c r="IK670" s="1"/>
      <c r="IL670" s="1"/>
      <c r="IM670" s="1"/>
      <c r="IN670" s="1"/>
      <c r="IO670" s="1"/>
      <c r="IP670" s="1"/>
      <c r="IQ670" s="1"/>
      <c r="IR670" s="1"/>
      <c r="IS670" s="1"/>
      <c r="IT670" s="1"/>
      <c r="IU670" s="1"/>
    </row>
    <row r="671" spans="14:255" s="30" customFormat="1" ht="12.95" customHeight="1" x14ac:dyDescent="0.2">
      <c r="N671" s="31"/>
      <c r="IB671" s="1"/>
      <c r="IC671" s="1"/>
      <c r="ID671" s="1"/>
      <c r="IE671" s="1"/>
      <c r="IF671" s="1"/>
      <c r="IG671" s="1"/>
      <c r="IH671" s="1"/>
      <c r="II671" s="1"/>
      <c r="IJ671" s="1"/>
      <c r="IK671" s="1"/>
      <c r="IL671" s="1"/>
      <c r="IM671" s="1"/>
      <c r="IN671" s="1"/>
      <c r="IO671" s="1"/>
      <c r="IP671" s="1"/>
      <c r="IQ671" s="1"/>
      <c r="IR671" s="1"/>
      <c r="IS671" s="1"/>
      <c r="IT671" s="1"/>
      <c r="IU671" s="1"/>
    </row>
    <row r="672" spans="14:255" s="30" customFormat="1" ht="12.95" customHeight="1" x14ac:dyDescent="0.2">
      <c r="N672" s="31"/>
      <c r="IB672" s="1"/>
      <c r="IC672" s="1"/>
      <c r="ID672" s="1"/>
      <c r="IE672" s="1"/>
      <c r="IF672" s="1"/>
      <c r="IG672" s="1"/>
      <c r="IH672" s="1"/>
      <c r="II672" s="1"/>
      <c r="IJ672" s="1"/>
      <c r="IK672" s="1"/>
      <c r="IL672" s="1"/>
      <c r="IM672" s="1"/>
      <c r="IN672" s="1"/>
      <c r="IO672" s="1"/>
      <c r="IP672" s="1"/>
      <c r="IQ672" s="1"/>
      <c r="IR672" s="1"/>
      <c r="IS672" s="1"/>
      <c r="IT672" s="1"/>
      <c r="IU672" s="1"/>
    </row>
    <row r="673" spans="14:255" s="30" customFormat="1" ht="12.95" customHeight="1" x14ac:dyDescent="0.2">
      <c r="N673" s="31"/>
      <c r="IB673" s="1"/>
      <c r="IC673" s="1"/>
      <c r="ID673" s="1"/>
      <c r="IE673" s="1"/>
      <c r="IF673" s="1"/>
      <c r="IG673" s="1"/>
      <c r="IH673" s="1"/>
      <c r="II673" s="1"/>
      <c r="IJ673" s="1"/>
      <c r="IK673" s="1"/>
      <c r="IL673" s="1"/>
      <c r="IM673" s="1"/>
      <c r="IN673" s="1"/>
      <c r="IO673" s="1"/>
      <c r="IP673" s="1"/>
      <c r="IQ673" s="1"/>
      <c r="IR673" s="1"/>
      <c r="IS673" s="1"/>
      <c r="IT673" s="1"/>
      <c r="IU673" s="1"/>
    </row>
    <row r="674" spans="14:255" s="30" customFormat="1" ht="12.95" customHeight="1" x14ac:dyDescent="0.2">
      <c r="N674" s="31"/>
      <c r="IB674" s="1"/>
      <c r="IC674" s="1"/>
      <c r="ID674" s="1"/>
      <c r="IE674" s="1"/>
      <c r="IF674" s="1"/>
      <c r="IG674" s="1"/>
      <c r="IH674" s="1"/>
      <c r="II674" s="1"/>
      <c r="IJ674" s="1"/>
      <c r="IK674" s="1"/>
      <c r="IL674" s="1"/>
      <c r="IM674" s="1"/>
      <c r="IN674" s="1"/>
      <c r="IO674" s="1"/>
      <c r="IP674" s="1"/>
      <c r="IQ674" s="1"/>
      <c r="IR674" s="1"/>
      <c r="IS674" s="1"/>
      <c r="IT674" s="1"/>
      <c r="IU674" s="1"/>
    </row>
    <row r="675" spans="14:255" s="30" customFormat="1" ht="12.95" customHeight="1" x14ac:dyDescent="0.2">
      <c r="N675" s="31"/>
      <c r="IB675" s="1"/>
      <c r="IC675" s="1"/>
      <c r="ID675" s="1"/>
      <c r="IE675" s="1"/>
      <c r="IF675" s="1"/>
      <c r="IG675" s="1"/>
      <c r="IH675" s="1"/>
      <c r="II675" s="1"/>
      <c r="IJ675" s="1"/>
      <c r="IK675" s="1"/>
      <c r="IL675" s="1"/>
      <c r="IM675" s="1"/>
      <c r="IN675" s="1"/>
      <c r="IO675" s="1"/>
      <c r="IP675" s="1"/>
      <c r="IQ675" s="1"/>
      <c r="IR675" s="1"/>
      <c r="IS675" s="1"/>
      <c r="IT675" s="1"/>
      <c r="IU675" s="1"/>
    </row>
    <row r="676" spans="14:255" s="30" customFormat="1" ht="12.95" customHeight="1" x14ac:dyDescent="0.2">
      <c r="N676" s="31"/>
      <c r="IB676" s="1"/>
      <c r="IC676" s="1"/>
      <c r="ID676" s="1"/>
      <c r="IE676" s="1"/>
      <c r="IF676" s="1"/>
      <c r="IG676" s="1"/>
      <c r="IH676" s="1"/>
      <c r="II676" s="1"/>
      <c r="IJ676" s="1"/>
      <c r="IK676" s="1"/>
      <c r="IL676" s="1"/>
      <c r="IM676" s="1"/>
      <c r="IN676" s="1"/>
      <c r="IO676" s="1"/>
      <c r="IP676" s="1"/>
      <c r="IQ676" s="1"/>
      <c r="IR676" s="1"/>
      <c r="IS676" s="1"/>
      <c r="IT676" s="1"/>
      <c r="IU676" s="1"/>
    </row>
    <row r="677" spans="14:255" s="30" customFormat="1" ht="12.95" customHeight="1" x14ac:dyDescent="0.2">
      <c r="N677" s="31"/>
      <c r="IB677" s="1"/>
      <c r="IC677" s="1"/>
      <c r="ID677" s="1"/>
      <c r="IE677" s="1"/>
      <c r="IF677" s="1"/>
      <c r="IG677" s="1"/>
      <c r="IH677" s="1"/>
      <c r="II677" s="1"/>
      <c r="IJ677" s="1"/>
      <c r="IK677" s="1"/>
      <c r="IL677" s="1"/>
      <c r="IM677" s="1"/>
      <c r="IN677" s="1"/>
      <c r="IO677" s="1"/>
      <c r="IP677" s="1"/>
      <c r="IQ677" s="1"/>
      <c r="IR677" s="1"/>
      <c r="IS677" s="1"/>
      <c r="IT677" s="1"/>
      <c r="IU677" s="1"/>
    </row>
    <row r="678" spans="14:255" s="30" customFormat="1" ht="12.95" customHeight="1" x14ac:dyDescent="0.2">
      <c r="N678" s="31"/>
      <c r="IB678" s="1"/>
      <c r="IC678" s="1"/>
      <c r="ID678" s="1"/>
      <c r="IE678" s="1"/>
      <c r="IF678" s="1"/>
      <c r="IG678" s="1"/>
      <c r="IH678" s="1"/>
      <c r="II678" s="1"/>
      <c r="IJ678" s="1"/>
      <c r="IK678" s="1"/>
      <c r="IL678" s="1"/>
      <c r="IM678" s="1"/>
      <c r="IN678" s="1"/>
      <c r="IO678" s="1"/>
      <c r="IP678" s="1"/>
      <c r="IQ678" s="1"/>
      <c r="IR678" s="1"/>
      <c r="IS678" s="1"/>
      <c r="IT678" s="1"/>
      <c r="IU678" s="1"/>
    </row>
    <row r="679" spans="14:255" s="30" customFormat="1" ht="12.95" customHeight="1" x14ac:dyDescent="0.2">
      <c r="N679" s="31"/>
      <c r="IB679" s="1"/>
      <c r="IC679" s="1"/>
      <c r="ID679" s="1"/>
      <c r="IE679" s="1"/>
      <c r="IF679" s="1"/>
      <c r="IG679" s="1"/>
      <c r="IH679" s="1"/>
      <c r="II679" s="1"/>
      <c r="IJ679" s="1"/>
      <c r="IK679" s="1"/>
      <c r="IL679" s="1"/>
      <c r="IM679" s="1"/>
      <c r="IN679" s="1"/>
      <c r="IO679" s="1"/>
      <c r="IP679" s="1"/>
      <c r="IQ679" s="1"/>
      <c r="IR679" s="1"/>
      <c r="IS679" s="1"/>
      <c r="IT679" s="1"/>
      <c r="IU679" s="1"/>
    </row>
    <row r="680" spans="14:255" s="30" customFormat="1" ht="12.95" customHeight="1" x14ac:dyDescent="0.2">
      <c r="N680" s="31"/>
      <c r="IB680" s="1"/>
      <c r="IC680" s="1"/>
      <c r="ID680" s="1"/>
      <c r="IE680" s="1"/>
      <c r="IF680" s="1"/>
      <c r="IG680" s="1"/>
      <c r="IH680" s="1"/>
      <c r="II680" s="1"/>
      <c r="IJ680" s="1"/>
      <c r="IK680" s="1"/>
      <c r="IL680" s="1"/>
      <c r="IM680" s="1"/>
      <c r="IN680" s="1"/>
      <c r="IO680" s="1"/>
      <c r="IP680" s="1"/>
      <c r="IQ680" s="1"/>
      <c r="IR680" s="1"/>
      <c r="IS680" s="1"/>
      <c r="IT680" s="1"/>
      <c r="IU680" s="1"/>
    </row>
    <row r="681" spans="14:255" s="30" customFormat="1" ht="12.95" customHeight="1" x14ac:dyDescent="0.2">
      <c r="N681" s="31"/>
      <c r="IB681" s="1"/>
      <c r="IC681" s="1"/>
      <c r="ID681" s="1"/>
      <c r="IE681" s="1"/>
      <c r="IF681" s="1"/>
      <c r="IG681" s="1"/>
      <c r="IH681" s="1"/>
      <c r="II681" s="1"/>
      <c r="IJ681" s="1"/>
      <c r="IK681" s="1"/>
      <c r="IL681" s="1"/>
      <c r="IM681" s="1"/>
      <c r="IN681" s="1"/>
      <c r="IO681" s="1"/>
      <c r="IP681" s="1"/>
      <c r="IQ681" s="1"/>
      <c r="IR681" s="1"/>
      <c r="IS681" s="1"/>
      <c r="IT681" s="1"/>
      <c r="IU681" s="1"/>
    </row>
    <row r="682" spans="14:255" s="30" customFormat="1" ht="12.95" customHeight="1" x14ac:dyDescent="0.2">
      <c r="N682" s="31"/>
      <c r="IB682" s="1"/>
      <c r="IC682" s="1"/>
      <c r="ID682" s="1"/>
      <c r="IE682" s="1"/>
      <c r="IF682" s="1"/>
      <c r="IG682" s="1"/>
      <c r="IH682" s="1"/>
      <c r="II682" s="1"/>
      <c r="IJ682" s="1"/>
      <c r="IK682" s="1"/>
      <c r="IL682" s="1"/>
      <c r="IM682" s="1"/>
      <c r="IN682" s="1"/>
      <c r="IO682" s="1"/>
      <c r="IP682" s="1"/>
      <c r="IQ682" s="1"/>
      <c r="IR682" s="1"/>
      <c r="IS682" s="1"/>
      <c r="IT682" s="1"/>
      <c r="IU682" s="1"/>
    </row>
    <row r="683" spans="14:255" s="30" customFormat="1" ht="12.95" customHeight="1" x14ac:dyDescent="0.2">
      <c r="N683" s="31"/>
      <c r="IB683" s="1"/>
      <c r="IC683" s="1"/>
      <c r="ID683" s="1"/>
      <c r="IE683" s="1"/>
      <c r="IF683" s="1"/>
      <c r="IG683" s="1"/>
      <c r="IH683" s="1"/>
      <c r="II683" s="1"/>
      <c r="IJ683" s="1"/>
      <c r="IK683" s="1"/>
      <c r="IL683" s="1"/>
      <c r="IM683" s="1"/>
      <c r="IN683" s="1"/>
      <c r="IO683" s="1"/>
      <c r="IP683" s="1"/>
      <c r="IQ683" s="1"/>
      <c r="IR683" s="1"/>
      <c r="IS683" s="1"/>
      <c r="IT683" s="1"/>
      <c r="IU683" s="1"/>
    </row>
    <row r="684" spans="14:255" s="30" customFormat="1" ht="12.95" customHeight="1" x14ac:dyDescent="0.2">
      <c r="N684" s="31"/>
      <c r="IB684" s="1"/>
      <c r="IC684" s="1"/>
      <c r="ID684" s="1"/>
      <c r="IE684" s="1"/>
      <c r="IF684" s="1"/>
      <c r="IG684" s="1"/>
      <c r="IH684" s="1"/>
      <c r="II684" s="1"/>
      <c r="IJ684" s="1"/>
      <c r="IK684" s="1"/>
      <c r="IL684" s="1"/>
      <c r="IM684" s="1"/>
      <c r="IN684" s="1"/>
      <c r="IO684" s="1"/>
      <c r="IP684" s="1"/>
      <c r="IQ684" s="1"/>
      <c r="IR684" s="1"/>
      <c r="IS684" s="1"/>
      <c r="IT684" s="1"/>
      <c r="IU684" s="1"/>
    </row>
    <row r="685" spans="14:255" s="30" customFormat="1" ht="12.95" customHeight="1" x14ac:dyDescent="0.2">
      <c r="N685" s="31"/>
      <c r="IB685" s="1"/>
      <c r="IC685" s="1"/>
      <c r="ID685" s="1"/>
      <c r="IE685" s="1"/>
      <c r="IF685" s="1"/>
      <c r="IG685" s="1"/>
      <c r="IH685" s="1"/>
      <c r="II685" s="1"/>
      <c r="IJ685" s="1"/>
      <c r="IK685" s="1"/>
      <c r="IL685" s="1"/>
      <c r="IM685" s="1"/>
      <c r="IN685" s="1"/>
      <c r="IO685" s="1"/>
      <c r="IP685" s="1"/>
      <c r="IQ685" s="1"/>
      <c r="IR685" s="1"/>
      <c r="IS685" s="1"/>
      <c r="IT685" s="1"/>
      <c r="IU685" s="1"/>
    </row>
    <row r="686" spans="14:255" s="30" customFormat="1" ht="12.95" customHeight="1" x14ac:dyDescent="0.2">
      <c r="N686" s="31"/>
      <c r="IB686" s="1"/>
      <c r="IC686" s="1"/>
      <c r="ID686" s="1"/>
      <c r="IE686" s="1"/>
      <c r="IF686" s="1"/>
      <c r="IG686" s="1"/>
      <c r="IH686" s="1"/>
      <c r="II686" s="1"/>
      <c r="IJ686" s="1"/>
      <c r="IK686" s="1"/>
      <c r="IL686" s="1"/>
      <c r="IM686" s="1"/>
      <c r="IN686" s="1"/>
      <c r="IO686" s="1"/>
      <c r="IP686" s="1"/>
      <c r="IQ686" s="1"/>
      <c r="IR686" s="1"/>
      <c r="IS686" s="1"/>
      <c r="IT686" s="1"/>
      <c r="IU686" s="1"/>
    </row>
    <row r="687" spans="14:255" s="30" customFormat="1" ht="12.95" customHeight="1" x14ac:dyDescent="0.2">
      <c r="N687" s="31"/>
      <c r="IB687" s="1"/>
      <c r="IC687" s="1"/>
      <c r="ID687" s="1"/>
      <c r="IE687" s="1"/>
      <c r="IF687" s="1"/>
      <c r="IG687" s="1"/>
      <c r="IH687" s="1"/>
      <c r="II687" s="1"/>
      <c r="IJ687" s="1"/>
      <c r="IK687" s="1"/>
      <c r="IL687" s="1"/>
      <c r="IM687" s="1"/>
      <c r="IN687" s="1"/>
      <c r="IO687" s="1"/>
      <c r="IP687" s="1"/>
      <c r="IQ687" s="1"/>
      <c r="IR687" s="1"/>
      <c r="IS687" s="1"/>
      <c r="IT687" s="1"/>
      <c r="IU687" s="1"/>
    </row>
    <row r="688" spans="14:255" s="30" customFormat="1" ht="12.95" customHeight="1" x14ac:dyDescent="0.2">
      <c r="N688" s="31"/>
      <c r="IB688" s="1"/>
      <c r="IC688" s="1"/>
      <c r="ID688" s="1"/>
      <c r="IE688" s="1"/>
      <c r="IF688" s="1"/>
      <c r="IG688" s="1"/>
      <c r="IH688" s="1"/>
      <c r="II688" s="1"/>
      <c r="IJ688" s="1"/>
      <c r="IK688" s="1"/>
      <c r="IL688" s="1"/>
      <c r="IM688" s="1"/>
      <c r="IN688" s="1"/>
      <c r="IO688" s="1"/>
      <c r="IP688" s="1"/>
      <c r="IQ688" s="1"/>
      <c r="IR688" s="1"/>
      <c r="IS688" s="1"/>
      <c r="IT688" s="1"/>
      <c r="IU688" s="1"/>
    </row>
    <row r="689" spans="14:255" s="30" customFormat="1" ht="12.95" customHeight="1" x14ac:dyDescent="0.2">
      <c r="N689" s="31"/>
      <c r="IB689" s="1"/>
      <c r="IC689" s="1"/>
      <c r="ID689" s="1"/>
      <c r="IE689" s="1"/>
      <c r="IF689" s="1"/>
      <c r="IG689" s="1"/>
      <c r="IH689" s="1"/>
      <c r="II689" s="1"/>
      <c r="IJ689" s="1"/>
      <c r="IK689" s="1"/>
      <c r="IL689" s="1"/>
      <c r="IM689" s="1"/>
      <c r="IN689" s="1"/>
      <c r="IO689" s="1"/>
      <c r="IP689" s="1"/>
      <c r="IQ689" s="1"/>
      <c r="IR689" s="1"/>
      <c r="IS689" s="1"/>
      <c r="IT689" s="1"/>
      <c r="IU689" s="1"/>
    </row>
    <row r="690" spans="14:255" s="30" customFormat="1" ht="12.95" customHeight="1" x14ac:dyDescent="0.2">
      <c r="N690" s="31"/>
      <c r="IB690" s="1"/>
      <c r="IC690" s="1"/>
      <c r="ID690" s="1"/>
      <c r="IE690" s="1"/>
      <c r="IF690" s="1"/>
      <c r="IG690" s="1"/>
      <c r="IH690" s="1"/>
      <c r="II690" s="1"/>
      <c r="IJ690" s="1"/>
      <c r="IK690" s="1"/>
      <c r="IL690" s="1"/>
      <c r="IM690" s="1"/>
      <c r="IN690" s="1"/>
      <c r="IO690" s="1"/>
      <c r="IP690" s="1"/>
      <c r="IQ690" s="1"/>
      <c r="IR690" s="1"/>
      <c r="IS690" s="1"/>
      <c r="IT690" s="1"/>
      <c r="IU690" s="1"/>
    </row>
    <row r="691" spans="14:255" s="30" customFormat="1" ht="12.95" customHeight="1" x14ac:dyDescent="0.2">
      <c r="N691" s="31"/>
      <c r="IB691" s="1"/>
      <c r="IC691" s="1"/>
      <c r="ID691" s="1"/>
      <c r="IE691" s="1"/>
      <c r="IF691" s="1"/>
      <c r="IG691" s="1"/>
      <c r="IH691" s="1"/>
      <c r="II691" s="1"/>
      <c r="IJ691" s="1"/>
      <c r="IK691" s="1"/>
      <c r="IL691" s="1"/>
      <c r="IM691" s="1"/>
      <c r="IN691" s="1"/>
      <c r="IO691" s="1"/>
      <c r="IP691" s="1"/>
      <c r="IQ691" s="1"/>
      <c r="IR691" s="1"/>
      <c r="IS691" s="1"/>
      <c r="IT691" s="1"/>
      <c r="IU691" s="1"/>
    </row>
    <row r="692" spans="14:255" s="30" customFormat="1" ht="12.95" customHeight="1" x14ac:dyDescent="0.2">
      <c r="N692" s="31"/>
      <c r="IB692" s="1"/>
      <c r="IC692" s="1"/>
      <c r="ID692" s="1"/>
      <c r="IE692" s="1"/>
      <c r="IF692" s="1"/>
      <c r="IG692" s="1"/>
      <c r="IH692" s="1"/>
      <c r="II692" s="1"/>
      <c r="IJ692" s="1"/>
      <c r="IK692" s="1"/>
      <c r="IL692" s="1"/>
      <c r="IM692" s="1"/>
      <c r="IN692" s="1"/>
      <c r="IO692" s="1"/>
      <c r="IP692" s="1"/>
      <c r="IQ692" s="1"/>
      <c r="IR692" s="1"/>
      <c r="IS692" s="1"/>
      <c r="IT692" s="1"/>
      <c r="IU692" s="1"/>
    </row>
    <row r="693" spans="14:255" s="30" customFormat="1" ht="12.95" customHeight="1" x14ac:dyDescent="0.2">
      <c r="N693" s="31"/>
      <c r="IB693" s="1"/>
      <c r="IC693" s="1"/>
      <c r="ID693" s="1"/>
      <c r="IE693" s="1"/>
      <c r="IF693" s="1"/>
      <c r="IG693" s="1"/>
      <c r="IH693" s="1"/>
      <c r="II693" s="1"/>
      <c r="IJ693" s="1"/>
      <c r="IK693" s="1"/>
      <c r="IL693" s="1"/>
      <c r="IM693" s="1"/>
      <c r="IN693" s="1"/>
      <c r="IO693" s="1"/>
      <c r="IP693" s="1"/>
      <c r="IQ693" s="1"/>
      <c r="IR693" s="1"/>
      <c r="IS693" s="1"/>
      <c r="IT693" s="1"/>
      <c r="IU693" s="1"/>
    </row>
    <row r="694" spans="14:255" s="30" customFormat="1" ht="12.95" customHeight="1" x14ac:dyDescent="0.2">
      <c r="N694" s="31"/>
      <c r="IB694" s="1"/>
      <c r="IC694" s="1"/>
      <c r="ID694" s="1"/>
      <c r="IE694" s="1"/>
      <c r="IF694" s="1"/>
      <c r="IG694" s="1"/>
      <c r="IH694" s="1"/>
      <c r="II694" s="1"/>
      <c r="IJ694" s="1"/>
      <c r="IK694" s="1"/>
      <c r="IL694" s="1"/>
      <c r="IM694" s="1"/>
      <c r="IN694" s="1"/>
      <c r="IO694" s="1"/>
      <c r="IP694" s="1"/>
      <c r="IQ694" s="1"/>
      <c r="IR694" s="1"/>
      <c r="IS694" s="1"/>
      <c r="IT694" s="1"/>
      <c r="IU694" s="1"/>
    </row>
    <row r="695" spans="14:255" s="30" customFormat="1" ht="12.95" customHeight="1" x14ac:dyDescent="0.2">
      <c r="N695" s="31"/>
      <c r="IB695" s="1"/>
      <c r="IC695" s="1"/>
      <c r="ID695" s="1"/>
      <c r="IE695" s="1"/>
      <c r="IF695" s="1"/>
      <c r="IG695" s="1"/>
      <c r="IH695" s="1"/>
      <c r="II695" s="1"/>
      <c r="IJ695" s="1"/>
      <c r="IK695" s="1"/>
      <c r="IL695" s="1"/>
      <c r="IM695" s="1"/>
      <c r="IN695" s="1"/>
      <c r="IO695" s="1"/>
      <c r="IP695" s="1"/>
      <c r="IQ695" s="1"/>
      <c r="IR695" s="1"/>
      <c r="IS695" s="1"/>
      <c r="IT695" s="1"/>
      <c r="IU695" s="1"/>
    </row>
    <row r="696" spans="14:255" s="30" customFormat="1" ht="12.95" customHeight="1" x14ac:dyDescent="0.2">
      <c r="N696" s="31"/>
      <c r="IB696" s="1"/>
      <c r="IC696" s="1"/>
      <c r="ID696" s="1"/>
      <c r="IE696" s="1"/>
      <c r="IF696" s="1"/>
      <c r="IG696" s="1"/>
      <c r="IH696" s="1"/>
      <c r="II696" s="1"/>
      <c r="IJ696" s="1"/>
      <c r="IK696" s="1"/>
      <c r="IL696" s="1"/>
      <c r="IM696" s="1"/>
      <c r="IN696" s="1"/>
      <c r="IO696" s="1"/>
      <c r="IP696" s="1"/>
      <c r="IQ696" s="1"/>
      <c r="IR696" s="1"/>
      <c r="IS696" s="1"/>
      <c r="IT696" s="1"/>
      <c r="IU696" s="1"/>
    </row>
    <row r="697" spans="14:255" s="30" customFormat="1" ht="12.95" customHeight="1" x14ac:dyDescent="0.2">
      <c r="N697" s="31"/>
      <c r="IB697" s="1"/>
      <c r="IC697" s="1"/>
      <c r="ID697" s="1"/>
      <c r="IE697" s="1"/>
      <c r="IF697" s="1"/>
      <c r="IG697" s="1"/>
      <c r="IH697" s="1"/>
      <c r="II697" s="1"/>
      <c r="IJ697" s="1"/>
      <c r="IK697" s="1"/>
      <c r="IL697" s="1"/>
      <c r="IM697" s="1"/>
      <c r="IN697" s="1"/>
      <c r="IO697" s="1"/>
      <c r="IP697" s="1"/>
      <c r="IQ697" s="1"/>
      <c r="IR697" s="1"/>
      <c r="IS697" s="1"/>
      <c r="IT697" s="1"/>
      <c r="IU697" s="1"/>
    </row>
    <row r="698" spans="14:255" s="30" customFormat="1" ht="12.95" customHeight="1" x14ac:dyDescent="0.2">
      <c r="N698" s="31"/>
      <c r="IB698" s="1"/>
      <c r="IC698" s="1"/>
      <c r="ID698" s="1"/>
      <c r="IE698" s="1"/>
      <c r="IF698" s="1"/>
      <c r="IG698" s="1"/>
      <c r="IH698" s="1"/>
      <c r="II698" s="1"/>
      <c r="IJ698" s="1"/>
      <c r="IK698" s="1"/>
      <c r="IL698" s="1"/>
      <c r="IM698" s="1"/>
      <c r="IN698" s="1"/>
      <c r="IO698" s="1"/>
      <c r="IP698" s="1"/>
      <c r="IQ698" s="1"/>
      <c r="IR698" s="1"/>
      <c r="IS698" s="1"/>
      <c r="IT698" s="1"/>
      <c r="IU698" s="1"/>
    </row>
    <row r="699" spans="14:255" s="30" customFormat="1" ht="12.95" customHeight="1" x14ac:dyDescent="0.2">
      <c r="N699" s="31"/>
      <c r="IB699" s="1"/>
      <c r="IC699" s="1"/>
      <c r="ID699" s="1"/>
      <c r="IE699" s="1"/>
      <c r="IF699" s="1"/>
      <c r="IG699" s="1"/>
      <c r="IH699" s="1"/>
      <c r="II699" s="1"/>
      <c r="IJ699" s="1"/>
      <c r="IK699" s="1"/>
      <c r="IL699" s="1"/>
      <c r="IM699" s="1"/>
      <c r="IN699" s="1"/>
      <c r="IO699" s="1"/>
      <c r="IP699" s="1"/>
      <c r="IQ699" s="1"/>
      <c r="IR699" s="1"/>
      <c r="IS699" s="1"/>
      <c r="IT699" s="1"/>
      <c r="IU699" s="1"/>
    </row>
    <row r="700" spans="14:255" s="30" customFormat="1" ht="12.95" customHeight="1" x14ac:dyDescent="0.2">
      <c r="N700" s="31"/>
      <c r="IB700" s="1"/>
      <c r="IC700" s="1"/>
      <c r="ID700" s="1"/>
      <c r="IE700" s="1"/>
      <c r="IF700" s="1"/>
      <c r="IG700" s="1"/>
      <c r="IH700" s="1"/>
      <c r="II700" s="1"/>
      <c r="IJ700" s="1"/>
      <c r="IK700" s="1"/>
      <c r="IL700" s="1"/>
      <c r="IM700" s="1"/>
      <c r="IN700" s="1"/>
      <c r="IO700" s="1"/>
      <c r="IP700" s="1"/>
      <c r="IQ700" s="1"/>
      <c r="IR700" s="1"/>
      <c r="IS700" s="1"/>
      <c r="IT700" s="1"/>
      <c r="IU700" s="1"/>
    </row>
    <row r="701" spans="14:255" s="30" customFormat="1" ht="12.95" customHeight="1" x14ac:dyDescent="0.2">
      <c r="N701" s="31"/>
      <c r="IB701" s="1"/>
      <c r="IC701" s="1"/>
      <c r="ID701" s="1"/>
      <c r="IE701" s="1"/>
      <c r="IF701" s="1"/>
      <c r="IG701" s="1"/>
      <c r="IH701" s="1"/>
      <c r="II701" s="1"/>
      <c r="IJ701" s="1"/>
      <c r="IK701" s="1"/>
      <c r="IL701" s="1"/>
      <c r="IM701" s="1"/>
      <c r="IN701" s="1"/>
      <c r="IO701" s="1"/>
      <c r="IP701" s="1"/>
      <c r="IQ701" s="1"/>
      <c r="IR701" s="1"/>
      <c r="IS701" s="1"/>
      <c r="IT701" s="1"/>
      <c r="IU701" s="1"/>
    </row>
    <row r="702" spans="14:255" s="30" customFormat="1" ht="12.95" customHeight="1" x14ac:dyDescent="0.2">
      <c r="N702" s="31"/>
      <c r="IB702" s="1"/>
      <c r="IC702" s="1"/>
      <c r="ID702" s="1"/>
      <c r="IE702" s="1"/>
      <c r="IF702" s="1"/>
      <c r="IG702" s="1"/>
      <c r="IH702" s="1"/>
      <c r="II702" s="1"/>
      <c r="IJ702" s="1"/>
      <c r="IK702" s="1"/>
      <c r="IL702" s="1"/>
      <c r="IM702" s="1"/>
      <c r="IN702" s="1"/>
      <c r="IO702" s="1"/>
      <c r="IP702" s="1"/>
      <c r="IQ702" s="1"/>
      <c r="IR702" s="1"/>
      <c r="IS702" s="1"/>
      <c r="IT702" s="1"/>
      <c r="IU702" s="1"/>
    </row>
    <row r="703" spans="14:255" s="30" customFormat="1" ht="12.95" customHeight="1" x14ac:dyDescent="0.2">
      <c r="N703" s="31"/>
      <c r="IB703" s="1"/>
      <c r="IC703" s="1"/>
      <c r="ID703" s="1"/>
      <c r="IE703" s="1"/>
      <c r="IF703" s="1"/>
      <c r="IG703" s="1"/>
      <c r="IH703" s="1"/>
      <c r="II703" s="1"/>
      <c r="IJ703" s="1"/>
      <c r="IK703" s="1"/>
      <c r="IL703" s="1"/>
      <c r="IM703" s="1"/>
      <c r="IN703" s="1"/>
      <c r="IO703" s="1"/>
      <c r="IP703" s="1"/>
      <c r="IQ703" s="1"/>
      <c r="IR703" s="1"/>
      <c r="IS703" s="1"/>
      <c r="IT703" s="1"/>
      <c r="IU703" s="1"/>
    </row>
    <row r="704" spans="14:255" s="30" customFormat="1" ht="12.95" customHeight="1" x14ac:dyDescent="0.2">
      <c r="N704" s="31"/>
      <c r="IB704" s="1"/>
      <c r="IC704" s="1"/>
      <c r="ID704" s="1"/>
      <c r="IE704" s="1"/>
      <c r="IF704" s="1"/>
      <c r="IG704" s="1"/>
      <c r="IH704" s="1"/>
      <c r="II704" s="1"/>
      <c r="IJ704" s="1"/>
      <c r="IK704" s="1"/>
      <c r="IL704" s="1"/>
      <c r="IM704" s="1"/>
      <c r="IN704" s="1"/>
      <c r="IO704" s="1"/>
      <c r="IP704" s="1"/>
      <c r="IQ704" s="1"/>
      <c r="IR704" s="1"/>
      <c r="IS704" s="1"/>
      <c r="IT704" s="1"/>
      <c r="IU704" s="1"/>
    </row>
    <row r="705" spans="14:255" s="30" customFormat="1" ht="12.95" customHeight="1" x14ac:dyDescent="0.2">
      <c r="N705" s="31"/>
      <c r="IB705" s="1"/>
      <c r="IC705" s="1"/>
      <c r="ID705" s="1"/>
      <c r="IE705" s="1"/>
      <c r="IF705" s="1"/>
      <c r="IG705" s="1"/>
      <c r="IH705" s="1"/>
      <c r="II705" s="1"/>
      <c r="IJ705" s="1"/>
      <c r="IK705" s="1"/>
      <c r="IL705" s="1"/>
      <c r="IM705" s="1"/>
      <c r="IN705" s="1"/>
      <c r="IO705" s="1"/>
      <c r="IP705" s="1"/>
      <c r="IQ705" s="1"/>
      <c r="IR705" s="1"/>
      <c r="IS705" s="1"/>
      <c r="IT705" s="1"/>
      <c r="IU705" s="1"/>
    </row>
    <row r="706" spans="14:255" s="30" customFormat="1" ht="12.95" customHeight="1" x14ac:dyDescent="0.2">
      <c r="N706" s="31"/>
      <c r="IB706" s="1"/>
      <c r="IC706" s="1"/>
      <c r="ID706" s="1"/>
      <c r="IE706" s="1"/>
      <c r="IF706" s="1"/>
      <c r="IG706" s="1"/>
      <c r="IH706" s="1"/>
      <c r="II706" s="1"/>
      <c r="IJ706" s="1"/>
      <c r="IK706" s="1"/>
      <c r="IL706" s="1"/>
      <c r="IM706" s="1"/>
      <c r="IN706" s="1"/>
      <c r="IO706" s="1"/>
      <c r="IP706" s="1"/>
      <c r="IQ706" s="1"/>
      <c r="IR706" s="1"/>
      <c r="IS706" s="1"/>
      <c r="IT706" s="1"/>
      <c r="IU706" s="1"/>
    </row>
    <row r="707" spans="14:255" s="30" customFormat="1" ht="12.95" customHeight="1" x14ac:dyDescent="0.2">
      <c r="N707" s="31"/>
      <c r="IB707" s="1"/>
      <c r="IC707" s="1"/>
      <c r="ID707" s="1"/>
      <c r="IE707" s="1"/>
      <c r="IF707" s="1"/>
      <c r="IG707" s="1"/>
      <c r="IH707" s="1"/>
      <c r="II707" s="1"/>
      <c r="IJ707" s="1"/>
      <c r="IK707" s="1"/>
      <c r="IL707" s="1"/>
      <c r="IM707" s="1"/>
      <c r="IN707" s="1"/>
      <c r="IO707" s="1"/>
      <c r="IP707" s="1"/>
      <c r="IQ707" s="1"/>
      <c r="IR707" s="1"/>
      <c r="IS707" s="1"/>
      <c r="IT707" s="1"/>
      <c r="IU707" s="1"/>
    </row>
    <row r="708" spans="14:255" s="30" customFormat="1" ht="12.95" customHeight="1" x14ac:dyDescent="0.2">
      <c r="N708" s="31"/>
      <c r="IB708" s="1"/>
      <c r="IC708" s="1"/>
      <c r="ID708" s="1"/>
      <c r="IE708" s="1"/>
      <c r="IF708" s="1"/>
      <c r="IG708" s="1"/>
      <c r="IH708" s="1"/>
      <c r="II708" s="1"/>
      <c r="IJ708" s="1"/>
      <c r="IK708" s="1"/>
      <c r="IL708" s="1"/>
      <c r="IM708" s="1"/>
      <c r="IN708" s="1"/>
      <c r="IO708" s="1"/>
      <c r="IP708" s="1"/>
      <c r="IQ708" s="1"/>
      <c r="IR708" s="1"/>
      <c r="IS708" s="1"/>
      <c r="IT708" s="1"/>
      <c r="IU708" s="1"/>
    </row>
    <row r="709" spans="14:255" s="30" customFormat="1" ht="12.95" customHeight="1" x14ac:dyDescent="0.2">
      <c r="N709" s="31"/>
      <c r="IB709" s="1"/>
      <c r="IC709" s="1"/>
      <c r="ID709" s="1"/>
      <c r="IE709" s="1"/>
      <c r="IF709" s="1"/>
      <c r="IG709" s="1"/>
      <c r="IH709" s="1"/>
      <c r="II709" s="1"/>
      <c r="IJ709" s="1"/>
      <c r="IK709" s="1"/>
      <c r="IL709" s="1"/>
      <c r="IM709" s="1"/>
      <c r="IN709" s="1"/>
      <c r="IO709" s="1"/>
      <c r="IP709" s="1"/>
      <c r="IQ709" s="1"/>
      <c r="IR709" s="1"/>
      <c r="IS709" s="1"/>
      <c r="IT709" s="1"/>
      <c r="IU709" s="1"/>
    </row>
    <row r="710" spans="14:255" s="30" customFormat="1" ht="12.95" customHeight="1" x14ac:dyDescent="0.2">
      <c r="N710" s="31"/>
      <c r="IB710" s="1"/>
      <c r="IC710" s="1"/>
      <c r="ID710" s="1"/>
      <c r="IE710" s="1"/>
      <c r="IF710" s="1"/>
      <c r="IG710" s="1"/>
      <c r="IH710" s="1"/>
      <c r="II710" s="1"/>
      <c r="IJ710" s="1"/>
      <c r="IK710" s="1"/>
      <c r="IL710" s="1"/>
      <c r="IM710" s="1"/>
      <c r="IN710" s="1"/>
      <c r="IO710" s="1"/>
      <c r="IP710" s="1"/>
      <c r="IQ710" s="1"/>
      <c r="IR710" s="1"/>
      <c r="IS710" s="1"/>
      <c r="IT710" s="1"/>
      <c r="IU710" s="1"/>
    </row>
    <row r="711" spans="14:255" s="30" customFormat="1" ht="12.95" customHeight="1" x14ac:dyDescent="0.2">
      <c r="N711" s="31"/>
      <c r="IB711" s="1"/>
      <c r="IC711" s="1"/>
      <c r="ID711" s="1"/>
      <c r="IE711" s="1"/>
      <c r="IF711" s="1"/>
      <c r="IG711" s="1"/>
      <c r="IH711" s="1"/>
      <c r="II711" s="1"/>
      <c r="IJ711" s="1"/>
      <c r="IK711" s="1"/>
      <c r="IL711" s="1"/>
      <c r="IM711" s="1"/>
      <c r="IN711" s="1"/>
      <c r="IO711" s="1"/>
      <c r="IP711" s="1"/>
      <c r="IQ711" s="1"/>
      <c r="IR711" s="1"/>
      <c r="IS711" s="1"/>
      <c r="IT711" s="1"/>
      <c r="IU711" s="1"/>
    </row>
    <row r="712" spans="14:255" s="30" customFormat="1" ht="12.95" customHeight="1" x14ac:dyDescent="0.2">
      <c r="N712" s="31"/>
      <c r="IB712" s="1"/>
      <c r="IC712" s="1"/>
      <c r="ID712" s="1"/>
      <c r="IE712" s="1"/>
      <c r="IF712" s="1"/>
      <c r="IG712" s="1"/>
      <c r="IH712" s="1"/>
      <c r="II712" s="1"/>
      <c r="IJ712" s="1"/>
      <c r="IK712" s="1"/>
      <c r="IL712" s="1"/>
      <c r="IM712" s="1"/>
      <c r="IN712" s="1"/>
      <c r="IO712" s="1"/>
      <c r="IP712" s="1"/>
      <c r="IQ712" s="1"/>
      <c r="IR712" s="1"/>
      <c r="IS712" s="1"/>
      <c r="IT712" s="1"/>
      <c r="IU712" s="1"/>
    </row>
    <row r="713" spans="14:255" s="30" customFormat="1" ht="12.95" customHeight="1" x14ac:dyDescent="0.2">
      <c r="N713" s="31"/>
      <c r="IB713" s="1"/>
      <c r="IC713" s="1"/>
      <c r="ID713" s="1"/>
      <c r="IE713" s="1"/>
      <c r="IF713" s="1"/>
      <c r="IG713" s="1"/>
      <c r="IH713" s="1"/>
      <c r="II713" s="1"/>
      <c r="IJ713" s="1"/>
      <c r="IK713" s="1"/>
      <c r="IL713" s="1"/>
      <c r="IM713" s="1"/>
      <c r="IN713" s="1"/>
      <c r="IO713" s="1"/>
      <c r="IP713" s="1"/>
      <c r="IQ713" s="1"/>
      <c r="IR713" s="1"/>
      <c r="IS713" s="1"/>
      <c r="IT713" s="1"/>
      <c r="IU713" s="1"/>
    </row>
    <row r="714" spans="14:255" s="30" customFormat="1" ht="12.95" customHeight="1" x14ac:dyDescent="0.2">
      <c r="N714" s="31"/>
      <c r="IB714" s="1"/>
      <c r="IC714" s="1"/>
      <c r="ID714" s="1"/>
      <c r="IE714" s="1"/>
      <c r="IF714" s="1"/>
      <c r="IG714" s="1"/>
      <c r="IH714" s="1"/>
      <c r="II714" s="1"/>
      <c r="IJ714" s="1"/>
      <c r="IK714" s="1"/>
      <c r="IL714" s="1"/>
      <c r="IM714" s="1"/>
      <c r="IN714" s="1"/>
      <c r="IO714" s="1"/>
      <c r="IP714" s="1"/>
      <c r="IQ714" s="1"/>
      <c r="IR714" s="1"/>
      <c r="IS714" s="1"/>
      <c r="IT714" s="1"/>
      <c r="IU714" s="1"/>
    </row>
    <row r="715" spans="14:255" s="30" customFormat="1" ht="12.95" customHeight="1" x14ac:dyDescent="0.2">
      <c r="N715" s="31"/>
      <c r="IB715" s="1"/>
      <c r="IC715" s="1"/>
      <c r="ID715" s="1"/>
      <c r="IE715" s="1"/>
      <c r="IF715" s="1"/>
      <c r="IG715" s="1"/>
      <c r="IH715" s="1"/>
      <c r="II715" s="1"/>
      <c r="IJ715" s="1"/>
      <c r="IK715" s="1"/>
      <c r="IL715" s="1"/>
      <c r="IM715" s="1"/>
      <c r="IN715" s="1"/>
      <c r="IO715" s="1"/>
      <c r="IP715" s="1"/>
      <c r="IQ715" s="1"/>
      <c r="IR715" s="1"/>
      <c r="IS715" s="1"/>
      <c r="IT715" s="1"/>
      <c r="IU715" s="1"/>
    </row>
    <row r="716" spans="14:255" s="30" customFormat="1" ht="12.95" customHeight="1" x14ac:dyDescent="0.2">
      <c r="N716" s="31"/>
      <c r="IB716" s="1"/>
      <c r="IC716" s="1"/>
      <c r="ID716" s="1"/>
      <c r="IE716" s="1"/>
      <c r="IF716" s="1"/>
      <c r="IG716" s="1"/>
      <c r="IH716" s="1"/>
      <c r="II716" s="1"/>
      <c r="IJ716" s="1"/>
      <c r="IK716" s="1"/>
      <c r="IL716" s="1"/>
      <c r="IM716" s="1"/>
      <c r="IN716" s="1"/>
      <c r="IO716" s="1"/>
      <c r="IP716" s="1"/>
      <c r="IQ716" s="1"/>
      <c r="IR716" s="1"/>
      <c r="IS716" s="1"/>
      <c r="IT716" s="1"/>
      <c r="IU716" s="1"/>
    </row>
    <row r="717" spans="14:255" s="30" customFormat="1" ht="12.95" customHeight="1" x14ac:dyDescent="0.2">
      <c r="N717" s="31"/>
      <c r="IB717" s="1"/>
      <c r="IC717" s="1"/>
      <c r="ID717" s="1"/>
      <c r="IE717" s="1"/>
      <c r="IF717" s="1"/>
      <c r="IG717" s="1"/>
      <c r="IH717" s="1"/>
      <c r="II717" s="1"/>
      <c r="IJ717" s="1"/>
      <c r="IK717" s="1"/>
      <c r="IL717" s="1"/>
      <c r="IM717" s="1"/>
      <c r="IN717" s="1"/>
      <c r="IO717" s="1"/>
      <c r="IP717" s="1"/>
      <c r="IQ717" s="1"/>
      <c r="IR717" s="1"/>
      <c r="IS717" s="1"/>
      <c r="IT717" s="1"/>
      <c r="IU717" s="1"/>
    </row>
    <row r="718" spans="14:255" s="30" customFormat="1" ht="12.95" customHeight="1" x14ac:dyDescent="0.2">
      <c r="N718" s="31"/>
      <c r="IB718" s="1"/>
      <c r="IC718" s="1"/>
      <c r="ID718" s="1"/>
      <c r="IE718" s="1"/>
      <c r="IF718" s="1"/>
      <c r="IG718" s="1"/>
      <c r="IH718" s="1"/>
      <c r="II718" s="1"/>
      <c r="IJ718" s="1"/>
      <c r="IK718" s="1"/>
      <c r="IL718" s="1"/>
      <c r="IM718" s="1"/>
      <c r="IN718" s="1"/>
      <c r="IO718" s="1"/>
      <c r="IP718" s="1"/>
      <c r="IQ718" s="1"/>
      <c r="IR718" s="1"/>
      <c r="IS718" s="1"/>
      <c r="IT718" s="1"/>
      <c r="IU718" s="1"/>
    </row>
    <row r="719" spans="14:255" s="30" customFormat="1" ht="12.95" customHeight="1" x14ac:dyDescent="0.2">
      <c r="N719" s="31"/>
      <c r="IB719" s="1"/>
      <c r="IC719" s="1"/>
      <c r="ID719" s="1"/>
      <c r="IE719" s="1"/>
      <c r="IF719" s="1"/>
      <c r="IG719" s="1"/>
      <c r="IH719" s="1"/>
      <c r="II719" s="1"/>
      <c r="IJ719" s="1"/>
      <c r="IK719" s="1"/>
      <c r="IL719" s="1"/>
      <c r="IM719" s="1"/>
      <c r="IN719" s="1"/>
      <c r="IO719" s="1"/>
      <c r="IP719" s="1"/>
      <c r="IQ719" s="1"/>
      <c r="IR719" s="1"/>
      <c r="IS719" s="1"/>
      <c r="IT719" s="1"/>
      <c r="IU719" s="1"/>
    </row>
    <row r="720" spans="14:255" s="30" customFormat="1" ht="12.95" customHeight="1" x14ac:dyDescent="0.2">
      <c r="N720" s="31"/>
      <c r="IB720" s="1"/>
      <c r="IC720" s="1"/>
      <c r="ID720" s="1"/>
      <c r="IE720" s="1"/>
      <c r="IF720" s="1"/>
      <c r="IG720" s="1"/>
      <c r="IH720" s="1"/>
      <c r="II720" s="1"/>
      <c r="IJ720" s="1"/>
      <c r="IK720" s="1"/>
      <c r="IL720" s="1"/>
      <c r="IM720" s="1"/>
      <c r="IN720" s="1"/>
      <c r="IO720" s="1"/>
      <c r="IP720" s="1"/>
      <c r="IQ720" s="1"/>
      <c r="IR720" s="1"/>
      <c r="IS720" s="1"/>
      <c r="IT720" s="1"/>
      <c r="IU720" s="1"/>
    </row>
    <row r="721" spans="14:255" s="30" customFormat="1" ht="12.95" customHeight="1" x14ac:dyDescent="0.2">
      <c r="N721" s="31"/>
      <c r="IB721" s="1"/>
      <c r="IC721" s="1"/>
      <c r="ID721" s="1"/>
      <c r="IE721" s="1"/>
      <c r="IF721" s="1"/>
      <c r="IG721" s="1"/>
      <c r="IH721" s="1"/>
      <c r="II721" s="1"/>
      <c r="IJ721" s="1"/>
      <c r="IK721" s="1"/>
      <c r="IL721" s="1"/>
      <c r="IM721" s="1"/>
      <c r="IN721" s="1"/>
      <c r="IO721" s="1"/>
      <c r="IP721" s="1"/>
      <c r="IQ721" s="1"/>
      <c r="IR721" s="1"/>
      <c r="IS721" s="1"/>
      <c r="IT721" s="1"/>
      <c r="IU721" s="1"/>
    </row>
    <row r="722" spans="14:255" s="30" customFormat="1" ht="12.95" customHeight="1" x14ac:dyDescent="0.2">
      <c r="N722" s="31"/>
      <c r="IB722" s="1"/>
      <c r="IC722" s="1"/>
      <c r="ID722" s="1"/>
      <c r="IE722" s="1"/>
      <c r="IF722" s="1"/>
      <c r="IG722" s="1"/>
      <c r="IH722" s="1"/>
      <c r="II722" s="1"/>
      <c r="IJ722" s="1"/>
      <c r="IK722" s="1"/>
      <c r="IL722" s="1"/>
      <c r="IM722" s="1"/>
      <c r="IN722" s="1"/>
      <c r="IO722" s="1"/>
      <c r="IP722" s="1"/>
      <c r="IQ722" s="1"/>
      <c r="IR722" s="1"/>
      <c r="IS722" s="1"/>
      <c r="IT722" s="1"/>
      <c r="IU722" s="1"/>
    </row>
    <row r="723" spans="14:255" s="30" customFormat="1" ht="12.95" customHeight="1" x14ac:dyDescent="0.2">
      <c r="N723" s="31"/>
      <c r="IB723" s="1"/>
      <c r="IC723" s="1"/>
      <c r="ID723" s="1"/>
      <c r="IE723" s="1"/>
      <c r="IF723" s="1"/>
      <c r="IG723" s="1"/>
      <c r="IH723" s="1"/>
      <c r="II723" s="1"/>
      <c r="IJ723" s="1"/>
      <c r="IK723" s="1"/>
      <c r="IL723" s="1"/>
      <c r="IM723" s="1"/>
      <c r="IN723" s="1"/>
      <c r="IO723" s="1"/>
      <c r="IP723" s="1"/>
      <c r="IQ723" s="1"/>
      <c r="IR723" s="1"/>
      <c r="IS723" s="1"/>
      <c r="IT723" s="1"/>
      <c r="IU723" s="1"/>
    </row>
    <row r="724" spans="14:255" s="30" customFormat="1" ht="12.95" customHeight="1" x14ac:dyDescent="0.2">
      <c r="N724" s="31"/>
      <c r="IB724" s="1"/>
      <c r="IC724" s="1"/>
      <c r="ID724" s="1"/>
      <c r="IE724" s="1"/>
      <c r="IF724" s="1"/>
      <c r="IG724" s="1"/>
      <c r="IH724" s="1"/>
      <c r="II724" s="1"/>
      <c r="IJ724" s="1"/>
      <c r="IK724" s="1"/>
      <c r="IL724" s="1"/>
      <c r="IM724" s="1"/>
      <c r="IN724" s="1"/>
      <c r="IO724" s="1"/>
      <c r="IP724" s="1"/>
      <c r="IQ724" s="1"/>
      <c r="IR724" s="1"/>
      <c r="IS724" s="1"/>
      <c r="IT724" s="1"/>
      <c r="IU724" s="1"/>
    </row>
    <row r="725" spans="14:255" s="30" customFormat="1" ht="12.95" customHeight="1" x14ac:dyDescent="0.2">
      <c r="N725" s="31"/>
      <c r="IB725" s="1"/>
      <c r="IC725" s="1"/>
      <c r="ID725" s="1"/>
      <c r="IE725" s="1"/>
      <c r="IF725" s="1"/>
      <c r="IG725" s="1"/>
      <c r="IH725" s="1"/>
      <c r="II725" s="1"/>
      <c r="IJ725" s="1"/>
      <c r="IK725" s="1"/>
      <c r="IL725" s="1"/>
      <c r="IM725" s="1"/>
      <c r="IN725" s="1"/>
      <c r="IO725" s="1"/>
      <c r="IP725" s="1"/>
      <c r="IQ725" s="1"/>
      <c r="IR725" s="1"/>
      <c r="IS725" s="1"/>
      <c r="IT725" s="1"/>
      <c r="IU725" s="1"/>
    </row>
    <row r="726" spans="14:255" s="30" customFormat="1" ht="12.95" customHeight="1" x14ac:dyDescent="0.2">
      <c r="N726" s="31"/>
      <c r="IB726" s="1"/>
      <c r="IC726" s="1"/>
      <c r="ID726" s="1"/>
      <c r="IE726" s="1"/>
      <c r="IF726" s="1"/>
      <c r="IG726" s="1"/>
      <c r="IH726" s="1"/>
      <c r="II726" s="1"/>
      <c r="IJ726" s="1"/>
      <c r="IK726" s="1"/>
      <c r="IL726" s="1"/>
      <c r="IM726" s="1"/>
      <c r="IN726" s="1"/>
      <c r="IO726" s="1"/>
      <c r="IP726" s="1"/>
      <c r="IQ726" s="1"/>
      <c r="IR726" s="1"/>
      <c r="IS726" s="1"/>
      <c r="IT726" s="1"/>
      <c r="IU726" s="1"/>
    </row>
    <row r="727" spans="14:255" s="30" customFormat="1" ht="12.95" customHeight="1" x14ac:dyDescent="0.2">
      <c r="N727" s="31"/>
      <c r="IB727" s="1"/>
      <c r="IC727" s="1"/>
      <c r="ID727" s="1"/>
      <c r="IE727" s="1"/>
      <c r="IF727" s="1"/>
      <c r="IG727" s="1"/>
      <c r="IH727" s="1"/>
      <c r="II727" s="1"/>
      <c r="IJ727" s="1"/>
      <c r="IK727" s="1"/>
      <c r="IL727" s="1"/>
      <c r="IM727" s="1"/>
      <c r="IN727" s="1"/>
      <c r="IO727" s="1"/>
      <c r="IP727" s="1"/>
      <c r="IQ727" s="1"/>
      <c r="IR727" s="1"/>
      <c r="IS727" s="1"/>
      <c r="IT727" s="1"/>
      <c r="IU727" s="1"/>
    </row>
    <row r="728" spans="14:255" s="30" customFormat="1" ht="12.95" customHeight="1" x14ac:dyDescent="0.2">
      <c r="N728" s="31"/>
      <c r="IB728" s="1"/>
      <c r="IC728" s="1"/>
      <c r="ID728" s="1"/>
      <c r="IE728" s="1"/>
      <c r="IF728" s="1"/>
      <c r="IG728" s="1"/>
      <c r="IH728" s="1"/>
      <c r="II728" s="1"/>
      <c r="IJ728" s="1"/>
      <c r="IK728" s="1"/>
      <c r="IL728" s="1"/>
      <c r="IM728" s="1"/>
      <c r="IN728" s="1"/>
      <c r="IO728" s="1"/>
      <c r="IP728" s="1"/>
      <c r="IQ728" s="1"/>
      <c r="IR728" s="1"/>
      <c r="IS728" s="1"/>
      <c r="IT728" s="1"/>
      <c r="IU728" s="1"/>
    </row>
    <row r="729" spans="14:255" s="30" customFormat="1" ht="12.95" customHeight="1" x14ac:dyDescent="0.2">
      <c r="N729" s="31"/>
      <c r="IB729" s="1"/>
      <c r="IC729" s="1"/>
      <c r="ID729" s="1"/>
      <c r="IE729" s="1"/>
      <c r="IF729" s="1"/>
      <c r="IG729" s="1"/>
      <c r="IH729" s="1"/>
      <c r="II729" s="1"/>
      <c r="IJ729" s="1"/>
      <c r="IK729" s="1"/>
      <c r="IL729" s="1"/>
      <c r="IM729" s="1"/>
      <c r="IN729" s="1"/>
      <c r="IO729" s="1"/>
      <c r="IP729" s="1"/>
      <c r="IQ729" s="1"/>
      <c r="IR729" s="1"/>
      <c r="IS729" s="1"/>
      <c r="IT729" s="1"/>
      <c r="IU729" s="1"/>
    </row>
    <row r="730" spans="14:255" s="30" customFormat="1" ht="12.95" customHeight="1" x14ac:dyDescent="0.2">
      <c r="N730" s="31"/>
      <c r="IB730" s="1"/>
      <c r="IC730" s="1"/>
      <c r="ID730" s="1"/>
      <c r="IE730" s="1"/>
      <c r="IF730" s="1"/>
      <c r="IG730" s="1"/>
      <c r="IH730" s="1"/>
      <c r="II730" s="1"/>
      <c r="IJ730" s="1"/>
      <c r="IK730" s="1"/>
      <c r="IL730" s="1"/>
      <c r="IM730" s="1"/>
      <c r="IN730" s="1"/>
      <c r="IO730" s="1"/>
      <c r="IP730" s="1"/>
      <c r="IQ730" s="1"/>
      <c r="IR730" s="1"/>
      <c r="IS730" s="1"/>
      <c r="IT730" s="1"/>
      <c r="IU730" s="1"/>
    </row>
    <row r="731" spans="14:255" s="30" customFormat="1" ht="12.95" customHeight="1" x14ac:dyDescent="0.2">
      <c r="N731" s="31"/>
      <c r="IB731" s="1"/>
      <c r="IC731" s="1"/>
      <c r="ID731" s="1"/>
      <c r="IE731" s="1"/>
      <c r="IF731" s="1"/>
      <c r="IG731" s="1"/>
      <c r="IH731" s="1"/>
      <c r="II731" s="1"/>
      <c r="IJ731" s="1"/>
      <c r="IK731" s="1"/>
      <c r="IL731" s="1"/>
      <c r="IM731" s="1"/>
      <c r="IN731" s="1"/>
      <c r="IO731" s="1"/>
      <c r="IP731" s="1"/>
      <c r="IQ731" s="1"/>
      <c r="IR731" s="1"/>
      <c r="IS731" s="1"/>
      <c r="IT731" s="1"/>
      <c r="IU731" s="1"/>
    </row>
    <row r="732" spans="14:255" s="30" customFormat="1" ht="12.95" customHeight="1" x14ac:dyDescent="0.2">
      <c r="N732" s="31"/>
      <c r="IB732" s="1"/>
      <c r="IC732" s="1"/>
      <c r="ID732" s="1"/>
      <c r="IE732" s="1"/>
      <c r="IF732" s="1"/>
      <c r="IG732" s="1"/>
      <c r="IH732" s="1"/>
      <c r="II732" s="1"/>
      <c r="IJ732" s="1"/>
      <c r="IK732" s="1"/>
      <c r="IL732" s="1"/>
      <c r="IM732" s="1"/>
      <c r="IN732" s="1"/>
      <c r="IO732" s="1"/>
      <c r="IP732" s="1"/>
      <c r="IQ732" s="1"/>
      <c r="IR732" s="1"/>
      <c r="IS732" s="1"/>
      <c r="IT732" s="1"/>
      <c r="IU732" s="1"/>
    </row>
    <row r="733" spans="14:255" s="30" customFormat="1" ht="12.95" customHeight="1" x14ac:dyDescent="0.2">
      <c r="N733" s="31"/>
      <c r="IB733" s="1"/>
      <c r="IC733" s="1"/>
      <c r="ID733" s="1"/>
      <c r="IE733" s="1"/>
      <c r="IF733" s="1"/>
      <c r="IG733" s="1"/>
      <c r="IH733" s="1"/>
      <c r="II733" s="1"/>
      <c r="IJ733" s="1"/>
      <c r="IK733" s="1"/>
      <c r="IL733" s="1"/>
      <c r="IM733" s="1"/>
      <c r="IN733" s="1"/>
      <c r="IO733" s="1"/>
      <c r="IP733" s="1"/>
      <c r="IQ733" s="1"/>
      <c r="IR733" s="1"/>
      <c r="IS733" s="1"/>
      <c r="IT733" s="1"/>
      <c r="IU733" s="1"/>
    </row>
    <row r="734" spans="14:255" s="30" customFormat="1" ht="12.95" customHeight="1" x14ac:dyDescent="0.2">
      <c r="N734" s="31"/>
      <c r="IB734" s="1"/>
      <c r="IC734" s="1"/>
      <c r="ID734" s="1"/>
      <c r="IE734" s="1"/>
      <c r="IF734" s="1"/>
      <c r="IG734" s="1"/>
      <c r="IH734" s="1"/>
      <c r="II734" s="1"/>
      <c r="IJ734" s="1"/>
      <c r="IK734" s="1"/>
      <c r="IL734" s="1"/>
      <c r="IM734" s="1"/>
      <c r="IN734" s="1"/>
      <c r="IO734" s="1"/>
      <c r="IP734" s="1"/>
      <c r="IQ734" s="1"/>
      <c r="IR734" s="1"/>
      <c r="IS734" s="1"/>
      <c r="IT734" s="1"/>
      <c r="IU734" s="1"/>
    </row>
    <row r="735" spans="14:255" s="30" customFormat="1" ht="12.95" customHeight="1" x14ac:dyDescent="0.2">
      <c r="N735" s="31"/>
      <c r="IB735" s="1"/>
      <c r="IC735" s="1"/>
      <c r="ID735" s="1"/>
      <c r="IE735" s="1"/>
      <c r="IF735" s="1"/>
      <c r="IG735" s="1"/>
      <c r="IH735" s="1"/>
      <c r="II735" s="1"/>
      <c r="IJ735" s="1"/>
      <c r="IK735" s="1"/>
      <c r="IL735" s="1"/>
      <c r="IM735" s="1"/>
      <c r="IN735" s="1"/>
      <c r="IO735" s="1"/>
      <c r="IP735" s="1"/>
      <c r="IQ735" s="1"/>
      <c r="IR735" s="1"/>
      <c r="IS735" s="1"/>
      <c r="IT735" s="1"/>
      <c r="IU735" s="1"/>
    </row>
    <row r="736" spans="14:255" s="30" customFormat="1" ht="12.95" customHeight="1" x14ac:dyDescent="0.2">
      <c r="N736" s="31"/>
      <c r="IB736" s="1"/>
      <c r="IC736" s="1"/>
      <c r="ID736" s="1"/>
      <c r="IE736" s="1"/>
      <c r="IF736" s="1"/>
      <c r="IG736" s="1"/>
      <c r="IH736" s="1"/>
      <c r="II736" s="1"/>
      <c r="IJ736" s="1"/>
      <c r="IK736" s="1"/>
      <c r="IL736" s="1"/>
      <c r="IM736" s="1"/>
      <c r="IN736" s="1"/>
      <c r="IO736" s="1"/>
      <c r="IP736" s="1"/>
      <c r="IQ736" s="1"/>
      <c r="IR736" s="1"/>
      <c r="IS736" s="1"/>
      <c r="IT736" s="1"/>
      <c r="IU736" s="1"/>
    </row>
    <row r="737" spans="14:255" s="30" customFormat="1" ht="12.95" customHeight="1" x14ac:dyDescent="0.2">
      <c r="N737" s="31"/>
      <c r="IB737" s="1"/>
      <c r="IC737" s="1"/>
      <c r="ID737" s="1"/>
      <c r="IE737" s="1"/>
      <c r="IF737" s="1"/>
      <c r="IG737" s="1"/>
      <c r="IH737" s="1"/>
      <c r="II737" s="1"/>
      <c r="IJ737" s="1"/>
      <c r="IK737" s="1"/>
      <c r="IL737" s="1"/>
      <c r="IM737" s="1"/>
      <c r="IN737" s="1"/>
      <c r="IO737" s="1"/>
      <c r="IP737" s="1"/>
      <c r="IQ737" s="1"/>
      <c r="IR737" s="1"/>
      <c r="IS737" s="1"/>
      <c r="IT737" s="1"/>
      <c r="IU737" s="1"/>
    </row>
    <row r="738" spans="14:255" s="30" customFormat="1" ht="12.95" customHeight="1" x14ac:dyDescent="0.2">
      <c r="N738" s="31"/>
      <c r="IB738" s="1"/>
      <c r="IC738" s="1"/>
      <c r="ID738" s="1"/>
      <c r="IE738" s="1"/>
      <c r="IF738" s="1"/>
      <c r="IG738" s="1"/>
      <c r="IH738" s="1"/>
      <c r="II738" s="1"/>
      <c r="IJ738" s="1"/>
      <c r="IK738" s="1"/>
      <c r="IL738" s="1"/>
      <c r="IM738" s="1"/>
      <c r="IN738" s="1"/>
      <c r="IO738" s="1"/>
      <c r="IP738" s="1"/>
      <c r="IQ738" s="1"/>
      <c r="IR738" s="1"/>
      <c r="IS738" s="1"/>
      <c r="IT738" s="1"/>
      <c r="IU738" s="1"/>
    </row>
    <row r="739" spans="14:255" s="30" customFormat="1" ht="12.95" customHeight="1" x14ac:dyDescent="0.2">
      <c r="N739" s="31"/>
      <c r="IB739" s="1"/>
      <c r="IC739" s="1"/>
      <c r="ID739" s="1"/>
      <c r="IE739" s="1"/>
      <c r="IF739" s="1"/>
      <c r="IG739" s="1"/>
      <c r="IH739" s="1"/>
      <c r="II739" s="1"/>
      <c r="IJ739" s="1"/>
      <c r="IK739" s="1"/>
      <c r="IL739" s="1"/>
      <c r="IM739" s="1"/>
      <c r="IN739" s="1"/>
      <c r="IO739" s="1"/>
      <c r="IP739" s="1"/>
      <c r="IQ739" s="1"/>
      <c r="IR739" s="1"/>
      <c r="IS739" s="1"/>
      <c r="IT739" s="1"/>
      <c r="IU739" s="1"/>
    </row>
    <row r="740" spans="14:255" s="30" customFormat="1" ht="12.95" customHeight="1" x14ac:dyDescent="0.2">
      <c r="N740" s="31"/>
      <c r="IB740" s="1"/>
      <c r="IC740" s="1"/>
      <c r="ID740" s="1"/>
      <c r="IE740" s="1"/>
      <c r="IF740" s="1"/>
      <c r="IG740" s="1"/>
      <c r="IH740" s="1"/>
      <c r="II740" s="1"/>
      <c r="IJ740" s="1"/>
      <c r="IK740" s="1"/>
      <c r="IL740" s="1"/>
      <c r="IM740" s="1"/>
      <c r="IN740" s="1"/>
      <c r="IO740" s="1"/>
      <c r="IP740" s="1"/>
      <c r="IQ740" s="1"/>
      <c r="IR740" s="1"/>
      <c r="IS740" s="1"/>
      <c r="IT740" s="1"/>
      <c r="IU740" s="1"/>
    </row>
    <row r="741" spans="14:255" s="30" customFormat="1" ht="12.95" customHeight="1" x14ac:dyDescent="0.2">
      <c r="N741" s="31"/>
      <c r="IB741" s="1"/>
      <c r="IC741" s="1"/>
      <c r="ID741" s="1"/>
      <c r="IE741" s="1"/>
      <c r="IF741" s="1"/>
      <c r="IG741" s="1"/>
      <c r="IH741" s="1"/>
      <c r="II741" s="1"/>
      <c r="IJ741" s="1"/>
      <c r="IK741" s="1"/>
      <c r="IL741" s="1"/>
      <c r="IM741" s="1"/>
      <c r="IN741" s="1"/>
      <c r="IO741" s="1"/>
      <c r="IP741" s="1"/>
      <c r="IQ741" s="1"/>
      <c r="IR741" s="1"/>
      <c r="IS741" s="1"/>
      <c r="IT741" s="1"/>
      <c r="IU741" s="1"/>
    </row>
    <row r="742" spans="14:255" s="30" customFormat="1" ht="12.95" customHeight="1" x14ac:dyDescent="0.2">
      <c r="N742" s="31"/>
      <c r="IB742" s="1"/>
      <c r="IC742" s="1"/>
      <c r="ID742" s="1"/>
      <c r="IE742" s="1"/>
      <c r="IF742" s="1"/>
      <c r="IG742" s="1"/>
      <c r="IH742" s="1"/>
      <c r="II742" s="1"/>
      <c r="IJ742" s="1"/>
      <c r="IK742" s="1"/>
      <c r="IL742" s="1"/>
      <c r="IM742" s="1"/>
      <c r="IN742" s="1"/>
      <c r="IO742" s="1"/>
      <c r="IP742" s="1"/>
      <c r="IQ742" s="1"/>
      <c r="IR742" s="1"/>
      <c r="IS742" s="1"/>
      <c r="IT742" s="1"/>
      <c r="IU742" s="1"/>
    </row>
    <row r="743" spans="14:255" s="30" customFormat="1" ht="12.95" customHeight="1" x14ac:dyDescent="0.2">
      <c r="N743" s="31"/>
      <c r="IB743" s="1"/>
      <c r="IC743" s="1"/>
      <c r="ID743" s="1"/>
      <c r="IE743" s="1"/>
      <c r="IF743" s="1"/>
      <c r="IG743" s="1"/>
      <c r="IH743" s="1"/>
      <c r="II743" s="1"/>
      <c r="IJ743" s="1"/>
      <c r="IK743" s="1"/>
      <c r="IL743" s="1"/>
      <c r="IM743" s="1"/>
      <c r="IN743" s="1"/>
      <c r="IO743" s="1"/>
      <c r="IP743" s="1"/>
      <c r="IQ743" s="1"/>
      <c r="IR743" s="1"/>
      <c r="IS743" s="1"/>
      <c r="IT743" s="1"/>
      <c r="IU743" s="1"/>
    </row>
    <row r="744" spans="14:255" s="30" customFormat="1" ht="12.95" customHeight="1" x14ac:dyDescent="0.2">
      <c r="N744" s="31"/>
      <c r="IB744" s="1"/>
      <c r="IC744" s="1"/>
      <c r="ID744" s="1"/>
      <c r="IE744" s="1"/>
      <c r="IF744" s="1"/>
      <c r="IG744" s="1"/>
      <c r="IH744" s="1"/>
      <c r="II744" s="1"/>
      <c r="IJ744" s="1"/>
      <c r="IK744" s="1"/>
      <c r="IL744" s="1"/>
      <c r="IM744" s="1"/>
      <c r="IN744" s="1"/>
      <c r="IO744" s="1"/>
      <c r="IP744" s="1"/>
      <c r="IQ744" s="1"/>
      <c r="IR744" s="1"/>
      <c r="IS744" s="1"/>
      <c r="IT744" s="1"/>
      <c r="IU744" s="1"/>
    </row>
    <row r="745" spans="14:255" s="30" customFormat="1" ht="12.95" customHeight="1" x14ac:dyDescent="0.2">
      <c r="N745" s="31"/>
      <c r="IB745" s="1"/>
      <c r="IC745" s="1"/>
      <c r="ID745" s="1"/>
      <c r="IE745" s="1"/>
      <c r="IF745" s="1"/>
      <c r="IG745" s="1"/>
      <c r="IH745" s="1"/>
      <c r="II745" s="1"/>
      <c r="IJ745" s="1"/>
      <c r="IK745" s="1"/>
      <c r="IL745" s="1"/>
      <c r="IM745" s="1"/>
      <c r="IN745" s="1"/>
      <c r="IO745" s="1"/>
      <c r="IP745" s="1"/>
      <c r="IQ745" s="1"/>
      <c r="IR745" s="1"/>
      <c r="IS745" s="1"/>
      <c r="IT745" s="1"/>
      <c r="IU745" s="1"/>
    </row>
    <row r="746" spans="14:255" s="30" customFormat="1" ht="12.95" customHeight="1" x14ac:dyDescent="0.2">
      <c r="N746" s="31"/>
      <c r="IB746" s="1"/>
      <c r="IC746" s="1"/>
      <c r="ID746" s="1"/>
      <c r="IE746" s="1"/>
      <c r="IF746" s="1"/>
      <c r="IG746" s="1"/>
      <c r="IH746" s="1"/>
      <c r="II746" s="1"/>
      <c r="IJ746" s="1"/>
      <c r="IK746" s="1"/>
      <c r="IL746" s="1"/>
      <c r="IM746" s="1"/>
      <c r="IN746" s="1"/>
      <c r="IO746" s="1"/>
      <c r="IP746" s="1"/>
      <c r="IQ746" s="1"/>
      <c r="IR746" s="1"/>
      <c r="IS746" s="1"/>
      <c r="IT746" s="1"/>
      <c r="IU746" s="1"/>
    </row>
    <row r="747" spans="14:255" s="30" customFormat="1" ht="12.95" customHeight="1" x14ac:dyDescent="0.2">
      <c r="N747" s="31"/>
      <c r="IB747" s="1"/>
      <c r="IC747" s="1"/>
      <c r="ID747" s="1"/>
      <c r="IE747" s="1"/>
      <c r="IF747" s="1"/>
      <c r="IG747" s="1"/>
      <c r="IH747" s="1"/>
      <c r="II747" s="1"/>
      <c r="IJ747" s="1"/>
      <c r="IK747" s="1"/>
      <c r="IL747" s="1"/>
      <c r="IM747" s="1"/>
      <c r="IN747" s="1"/>
      <c r="IO747" s="1"/>
      <c r="IP747" s="1"/>
      <c r="IQ747" s="1"/>
      <c r="IR747" s="1"/>
      <c r="IS747" s="1"/>
      <c r="IT747" s="1"/>
      <c r="IU747" s="1"/>
    </row>
    <row r="748" spans="14:255" s="30" customFormat="1" ht="12.95" customHeight="1" x14ac:dyDescent="0.2">
      <c r="N748" s="31"/>
      <c r="IB748" s="1"/>
      <c r="IC748" s="1"/>
      <c r="ID748" s="1"/>
      <c r="IE748" s="1"/>
      <c r="IF748" s="1"/>
      <c r="IG748" s="1"/>
      <c r="IH748" s="1"/>
      <c r="II748" s="1"/>
      <c r="IJ748" s="1"/>
      <c r="IK748" s="1"/>
      <c r="IL748" s="1"/>
      <c r="IM748" s="1"/>
      <c r="IN748" s="1"/>
      <c r="IO748" s="1"/>
      <c r="IP748" s="1"/>
      <c r="IQ748" s="1"/>
      <c r="IR748" s="1"/>
      <c r="IS748" s="1"/>
      <c r="IT748" s="1"/>
      <c r="IU748" s="1"/>
    </row>
    <row r="749" spans="14:255" s="30" customFormat="1" ht="12.95" customHeight="1" x14ac:dyDescent="0.2">
      <c r="N749" s="31"/>
      <c r="IB749" s="1"/>
      <c r="IC749" s="1"/>
      <c r="ID749" s="1"/>
      <c r="IE749" s="1"/>
      <c r="IF749" s="1"/>
      <c r="IG749" s="1"/>
      <c r="IH749" s="1"/>
      <c r="II749" s="1"/>
      <c r="IJ749" s="1"/>
      <c r="IK749" s="1"/>
      <c r="IL749" s="1"/>
      <c r="IM749" s="1"/>
      <c r="IN749" s="1"/>
      <c r="IO749" s="1"/>
      <c r="IP749" s="1"/>
      <c r="IQ749" s="1"/>
      <c r="IR749" s="1"/>
      <c r="IS749" s="1"/>
      <c r="IT749" s="1"/>
      <c r="IU749" s="1"/>
    </row>
    <row r="750" spans="14:255" s="30" customFormat="1" ht="12.95" customHeight="1" x14ac:dyDescent="0.2">
      <c r="N750" s="31"/>
      <c r="IB750" s="1"/>
      <c r="IC750" s="1"/>
      <c r="ID750" s="1"/>
      <c r="IE750" s="1"/>
      <c r="IF750" s="1"/>
      <c r="IG750" s="1"/>
      <c r="IH750" s="1"/>
      <c r="II750" s="1"/>
      <c r="IJ750" s="1"/>
      <c r="IK750" s="1"/>
      <c r="IL750" s="1"/>
      <c r="IM750" s="1"/>
      <c r="IN750" s="1"/>
      <c r="IO750" s="1"/>
      <c r="IP750" s="1"/>
      <c r="IQ750" s="1"/>
      <c r="IR750" s="1"/>
      <c r="IS750" s="1"/>
      <c r="IT750" s="1"/>
      <c r="IU750" s="1"/>
    </row>
    <row r="751" spans="14:255" s="30" customFormat="1" ht="12.95" customHeight="1" x14ac:dyDescent="0.2">
      <c r="N751" s="31"/>
      <c r="IB751" s="1"/>
      <c r="IC751" s="1"/>
      <c r="ID751" s="1"/>
      <c r="IE751" s="1"/>
      <c r="IF751" s="1"/>
      <c r="IG751" s="1"/>
      <c r="IH751" s="1"/>
      <c r="II751" s="1"/>
      <c r="IJ751" s="1"/>
      <c r="IK751" s="1"/>
      <c r="IL751" s="1"/>
      <c r="IM751" s="1"/>
      <c r="IN751" s="1"/>
      <c r="IO751" s="1"/>
      <c r="IP751" s="1"/>
      <c r="IQ751" s="1"/>
      <c r="IR751" s="1"/>
      <c r="IS751" s="1"/>
      <c r="IT751" s="1"/>
      <c r="IU751" s="1"/>
    </row>
    <row r="752" spans="14:255" s="30" customFormat="1" ht="12.95" customHeight="1" x14ac:dyDescent="0.2">
      <c r="N752" s="31"/>
      <c r="IB752" s="1"/>
      <c r="IC752" s="1"/>
      <c r="ID752" s="1"/>
      <c r="IE752" s="1"/>
      <c r="IF752" s="1"/>
      <c r="IG752" s="1"/>
      <c r="IH752" s="1"/>
      <c r="II752" s="1"/>
      <c r="IJ752" s="1"/>
      <c r="IK752" s="1"/>
      <c r="IL752" s="1"/>
      <c r="IM752" s="1"/>
      <c r="IN752" s="1"/>
      <c r="IO752" s="1"/>
      <c r="IP752" s="1"/>
      <c r="IQ752" s="1"/>
      <c r="IR752" s="1"/>
      <c r="IS752" s="1"/>
      <c r="IT752" s="1"/>
      <c r="IU752" s="1"/>
    </row>
    <row r="753" spans="14:255" s="30" customFormat="1" ht="12.95" customHeight="1" x14ac:dyDescent="0.2">
      <c r="N753" s="31"/>
      <c r="IB753" s="1"/>
      <c r="IC753" s="1"/>
      <c r="ID753" s="1"/>
      <c r="IE753" s="1"/>
      <c r="IF753" s="1"/>
      <c r="IG753" s="1"/>
      <c r="IH753" s="1"/>
      <c r="II753" s="1"/>
      <c r="IJ753" s="1"/>
      <c r="IK753" s="1"/>
      <c r="IL753" s="1"/>
      <c r="IM753" s="1"/>
      <c r="IN753" s="1"/>
      <c r="IO753" s="1"/>
      <c r="IP753" s="1"/>
      <c r="IQ753" s="1"/>
      <c r="IR753" s="1"/>
      <c r="IS753" s="1"/>
      <c r="IT753" s="1"/>
      <c r="IU753" s="1"/>
    </row>
    <row r="754" spans="14:255" s="30" customFormat="1" ht="12.95" customHeight="1" x14ac:dyDescent="0.2">
      <c r="N754" s="31"/>
      <c r="IB754" s="1"/>
      <c r="IC754" s="1"/>
      <c r="ID754" s="1"/>
      <c r="IE754" s="1"/>
      <c r="IF754" s="1"/>
      <c r="IG754" s="1"/>
      <c r="IH754" s="1"/>
      <c r="II754" s="1"/>
      <c r="IJ754" s="1"/>
      <c r="IK754" s="1"/>
      <c r="IL754" s="1"/>
      <c r="IM754" s="1"/>
      <c r="IN754" s="1"/>
      <c r="IO754" s="1"/>
      <c r="IP754" s="1"/>
      <c r="IQ754" s="1"/>
      <c r="IR754" s="1"/>
      <c r="IS754" s="1"/>
      <c r="IT754" s="1"/>
      <c r="IU754" s="1"/>
    </row>
    <row r="755" spans="14:255" s="30" customFormat="1" ht="12.95" customHeight="1" x14ac:dyDescent="0.2">
      <c r="N755" s="31"/>
      <c r="IB755" s="1"/>
      <c r="IC755" s="1"/>
      <c r="ID755" s="1"/>
      <c r="IE755" s="1"/>
      <c r="IF755" s="1"/>
      <c r="IG755" s="1"/>
      <c r="IH755" s="1"/>
      <c r="II755" s="1"/>
      <c r="IJ755" s="1"/>
      <c r="IK755" s="1"/>
      <c r="IL755" s="1"/>
      <c r="IM755" s="1"/>
      <c r="IN755" s="1"/>
      <c r="IO755" s="1"/>
      <c r="IP755" s="1"/>
      <c r="IQ755" s="1"/>
      <c r="IR755" s="1"/>
      <c r="IS755" s="1"/>
      <c r="IT755" s="1"/>
      <c r="IU755" s="1"/>
    </row>
    <row r="756" spans="14:255" s="30" customFormat="1" ht="12.95" customHeight="1" x14ac:dyDescent="0.2">
      <c r="N756" s="31"/>
      <c r="IB756" s="1"/>
      <c r="IC756" s="1"/>
      <c r="ID756" s="1"/>
      <c r="IE756" s="1"/>
      <c r="IF756" s="1"/>
      <c r="IG756" s="1"/>
      <c r="IH756" s="1"/>
      <c r="II756" s="1"/>
      <c r="IJ756" s="1"/>
      <c r="IK756" s="1"/>
      <c r="IL756" s="1"/>
      <c r="IM756" s="1"/>
      <c r="IN756" s="1"/>
      <c r="IO756" s="1"/>
      <c r="IP756" s="1"/>
      <c r="IQ756" s="1"/>
      <c r="IR756" s="1"/>
      <c r="IS756" s="1"/>
      <c r="IT756" s="1"/>
      <c r="IU756" s="1"/>
    </row>
    <row r="757" spans="14:255" s="30" customFormat="1" ht="12.95" customHeight="1" x14ac:dyDescent="0.2">
      <c r="N757" s="31"/>
      <c r="IB757" s="1"/>
      <c r="IC757" s="1"/>
      <c r="ID757" s="1"/>
      <c r="IE757" s="1"/>
      <c r="IF757" s="1"/>
      <c r="IG757" s="1"/>
      <c r="IH757" s="1"/>
      <c r="II757" s="1"/>
      <c r="IJ757" s="1"/>
      <c r="IK757" s="1"/>
      <c r="IL757" s="1"/>
      <c r="IM757" s="1"/>
      <c r="IN757" s="1"/>
      <c r="IO757" s="1"/>
      <c r="IP757" s="1"/>
      <c r="IQ757" s="1"/>
      <c r="IR757" s="1"/>
      <c r="IS757" s="1"/>
      <c r="IT757" s="1"/>
      <c r="IU757" s="1"/>
    </row>
    <row r="758" spans="14:255" s="30" customFormat="1" ht="12.95" customHeight="1" x14ac:dyDescent="0.2">
      <c r="N758" s="31"/>
      <c r="IB758" s="1"/>
      <c r="IC758" s="1"/>
      <c r="ID758" s="1"/>
      <c r="IE758" s="1"/>
      <c r="IF758" s="1"/>
      <c r="IG758" s="1"/>
      <c r="IH758" s="1"/>
      <c r="II758" s="1"/>
      <c r="IJ758" s="1"/>
      <c r="IK758" s="1"/>
      <c r="IL758" s="1"/>
      <c r="IM758" s="1"/>
      <c r="IN758" s="1"/>
      <c r="IO758" s="1"/>
      <c r="IP758" s="1"/>
      <c r="IQ758" s="1"/>
      <c r="IR758" s="1"/>
      <c r="IS758" s="1"/>
      <c r="IT758" s="1"/>
      <c r="IU758" s="1"/>
    </row>
    <row r="759" spans="14:255" s="30" customFormat="1" ht="12.95" customHeight="1" x14ac:dyDescent="0.2">
      <c r="N759" s="31"/>
      <c r="IB759" s="1"/>
      <c r="IC759" s="1"/>
      <c r="ID759" s="1"/>
      <c r="IE759" s="1"/>
      <c r="IF759" s="1"/>
      <c r="IG759" s="1"/>
      <c r="IH759" s="1"/>
      <c r="II759" s="1"/>
      <c r="IJ759" s="1"/>
      <c r="IK759" s="1"/>
      <c r="IL759" s="1"/>
      <c r="IM759" s="1"/>
      <c r="IN759" s="1"/>
      <c r="IO759" s="1"/>
      <c r="IP759" s="1"/>
      <c r="IQ759" s="1"/>
      <c r="IR759" s="1"/>
      <c r="IS759" s="1"/>
      <c r="IT759" s="1"/>
      <c r="IU759" s="1"/>
    </row>
    <row r="760" spans="14:255" s="30" customFormat="1" ht="12.95" customHeight="1" x14ac:dyDescent="0.2">
      <c r="N760" s="31"/>
      <c r="IB760" s="1"/>
      <c r="IC760" s="1"/>
      <c r="ID760" s="1"/>
      <c r="IE760" s="1"/>
      <c r="IF760" s="1"/>
      <c r="IG760" s="1"/>
      <c r="IH760" s="1"/>
      <c r="II760" s="1"/>
      <c r="IJ760" s="1"/>
      <c r="IK760" s="1"/>
      <c r="IL760" s="1"/>
      <c r="IM760" s="1"/>
      <c r="IN760" s="1"/>
      <c r="IO760" s="1"/>
      <c r="IP760" s="1"/>
      <c r="IQ760" s="1"/>
      <c r="IR760" s="1"/>
      <c r="IS760" s="1"/>
      <c r="IT760" s="1"/>
      <c r="IU760" s="1"/>
    </row>
    <row r="761" spans="14:255" s="30" customFormat="1" ht="12.95" customHeight="1" x14ac:dyDescent="0.2">
      <c r="N761" s="31"/>
      <c r="IB761" s="1"/>
      <c r="IC761" s="1"/>
      <c r="ID761" s="1"/>
      <c r="IE761" s="1"/>
      <c r="IF761" s="1"/>
      <c r="IG761" s="1"/>
      <c r="IH761" s="1"/>
      <c r="II761" s="1"/>
      <c r="IJ761" s="1"/>
      <c r="IK761" s="1"/>
      <c r="IL761" s="1"/>
      <c r="IM761" s="1"/>
      <c r="IN761" s="1"/>
      <c r="IO761" s="1"/>
      <c r="IP761" s="1"/>
      <c r="IQ761" s="1"/>
      <c r="IR761" s="1"/>
      <c r="IS761" s="1"/>
      <c r="IT761" s="1"/>
      <c r="IU761" s="1"/>
    </row>
    <row r="762" spans="14:255" s="30" customFormat="1" ht="12.95" customHeight="1" x14ac:dyDescent="0.2">
      <c r="N762" s="31"/>
      <c r="IB762" s="1"/>
      <c r="IC762" s="1"/>
      <c r="ID762" s="1"/>
      <c r="IE762" s="1"/>
      <c r="IF762" s="1"/>
      <c r="IG762" s="1"/>
      <c r="IH762" s="1"/>
      <c r="II762" s="1"/>
      <c r="IJ762" s="1"/>
      <c r="IK762" s="1"/>
      <c r="IL762" s="1"/>
      <c r="IM762" s="1"/>
      <c r="IN762" s="1"/>
      <c r="IO762" s="1"/>
      <c r="IP762" s="1"/>
      <c r="IQ762" s="1"/>
      <c r="IR762" s="1"/>
      <c r="IS762" s="1"/>
      <c r="IT762" s="1"/>
      <c r="IU762" s="1"/>
    </row>
    <row r="763" spans="14:255" s="30" customFormat="1" ht="12.95" customHeight="1" x14ac:dyDescent="0.2">
      <c r="N763" s="31"/>
      <c r="IB763" s="1"/>
      <c r="IC763" s="1"/>
      <c r="ID763" s="1"/>
      <c r="IE763" s="1"/>
      <c r="IF763" s="1"/>
      <c r="IG763" s="1"/>
      <c r="IH763" s="1"/>
      <c r="II763" s="1"/>
      <c r="IJ763" s="1"/>
      <c r="IK763" s="1"/>
      <c r="IL763" s="1"/>
      <c r="IM763" s="1"/>
      <c r="IN763" s="1"/>
      <c r="IO763" s="1"/>
      <c r="IP763" s="1"/>
      <c r="IQ763" s="1"/>
      <c r="IR763" s="1"/>
      <c r="IS763" s="1"/>
      <c r="IT763" s="1"/>
      <c r="IU763" s="1"/>
    </row>
    <row r="764" spans="14:255" s="30" customFormat="1" ht="12.95" customHeight="1" x14ac:dyDescent="0.2">
      <c r="N764" s="31"/>
      <c r="IB764" s="1"/>
      <c r="IC764" s="1"/>
      <c r="ID764" s="1"/>
      <c r="IE764" s="1"/>
      <c r="IF764" s="1"/>
      <c r="IG764" s="1"/>
      <c r="IH764" s="1"/>
      <c r="II764" s="1"/>
      <c r="IJ764" s="1"/>
      <c r="IK764" s="1"/>
      <c r="IL764" s="1"/>
      <c r="IM764" s="1"/>
      <c r="IN764" s="1"/>
      <c r="IO764" s="1"/>
      <c r="IP764" s="1"/>
      <c r="IQ764" s="1"/>
      <c r="IR764" s="1"/>
      <c r="IS764" s="1"/>
      <c r="IT764" s="1"/>
      <c r="IU764" s="1"/>
    </row>
    <row r="765" spans="14:255" s="30" customFormat="1" ht="12.95" customHeight="1" x14ac:dyDescent="0.2">
      <c r="N765" s="31"/>
      <c r="IB765" s="1"/>
      <c r="IC765" s="1"/>
      <c r="ID765" s="1"/>
      <c r="IE765" s="1"/>
      <c r="IF765" s="1"/>
      <c r="IG765" s="1"/>
      <c r="IH765" s="1"/>
      <c r="II765" s="1"/>
      <c r="IJ765" s="1"/>
      <c r="IK765" s="1"/>
      <c r="IL765" s="1"/>
      <c r="IM765" s="1"/>
      <c r="IN765" s="1"/>
      <c r="IO765" s="1"/>
      <c r="IP765" s="1"/>
      <c r="IQ765" s="1"/>
      <c r="IR765" s="1"/>
      <c r="IS765" s="1"/>
      <c r="IT765" s="1"/>
      <c r="IU765" s="1"/>
    </row>
    <row r="766" spans="14:255" s="30" customFormat="1" ht="12.95" customHeight="1" x14ac:dyDescent="0.2">
      <c r="N766" s="31"/>
      <c r="IB766" s="1"/>
      <c r="IC766" s="1"/>
      <c r="ID766" s="1"/>
      <c r="IE766" s="1"/>
      <c r="IF766" s="1"/>
      <c r="IG766" s="1"/>
      <c r="IH766" s="1"/>
      <c r="II766" s="1"/>
      <c r="IJ766" s="1"/>
      <c r="IK766" s="1"/>
      <c r="IL766" s="1"/>
      <c r="IM766" s="1"/>
      <c r="IN766" s="1"/>
      <c r="IO766" s="1"/>
      <c r="IP766" s="1"/>
      <c r="IQ766" s="1"/>
      <c r="IR766" s="1"/>
      <c r="IS766" s="1"/>
      <c r="IT766" s="1"/>
      <c r="IU766" s="1"/>
    </row>
    <row r="767" spans="14:255" s="30" customFormat="1" ht="12.95" customHeight="1" x14ac:dyDescent="0.2">
      <c r="N767" s="31"/>
      <c r="IB767" s="1"/>
      <c r="IC767" s="1"/>
      <c r="ID767" s="1"/>
      <c r="IE767" s="1"/>
      <c r="IF767" s="1"/>
      <c r="IG767" s="1"/>
      <c r="IH767" s="1"/>
      <c r="II767" s="1"/>
      <c r="IJ767" s="1"/>
      <c r="IK767" s="1"/>
      <c r="IL767" s="1"/>
      <c r="IM767" s="1"/>
      <c r="IN767" s="1"/>
      <c r="IO767" s="1"/>
      <c r="IP767" s="1"/>
      <c r="IQ767" s="1"/>
      <c r="IR767" s="1"/>
      <c r="IS767" s="1"/>
      <c r="IT767" s="1"/>
      <c r="IU767" s="1"/>
    </row>
    <row r="768" spans="14:255" s="30" customFormat="1" ht="12.95" customHeight="1" x14ac:dyDescent="0.2">
      <c r="N768" s="31"/>
      <c r="IB768" s="1"/>
      <c r="IC768" s="1"/>
      <c r="ID768" s="1"/>
      <c r="IE768" s="1"/>
      <c r="IF768" s="1"/>
      <c r="IG768" s="1"/>
      <c r="IH768" s="1"/>
      <c r="II768" s="1"/>
      <c r="IJ768" s="1"/>
      <c r="IK768" s="1"/>
      <c r="IL768" s="1"/>
      <c r="IM768" s="1"/>
      <c r="IN768" s="1"/>
      <c r="IO768" s="1"/>
      <c r="IP768" s="1"/>
      <c r="IQ768" s="1"/>
      <c r="IR768" s="1"/>
      <c r="IS768" s="1"/>
      <c r="IT768" s="1"/>
      <c r="IU768" s="1"/>
    </row>
    <row r="769" spans="14:255" s="30" customFormat="1" ht="12.95" customHeight="1" x14ac:dyDescent="0.2">
      <c r="N769" s="31"/>
      <c r="IB769" s="1"/>
      <c r="IC769" s="1"/>
      <c r="ID769" s="1"/>
      <c r="IE769" s="1"/>
      <c r="IF769" s="1"/>
      <c r="IG769" s="1"/>
      <c r="IH769" s="1"/>
      <c r="II769" s="1"/>
      <c r="IJ769" s="1"/>
      <c r="IK769" s="1"/>
      <c r="IL769" s="1"/>
      <c r="IM769" s="1"/>
      <c r="IN769" s="1"/>
      <c r="IO769" s="1"/>
      <c r="IP769" s="1"/>
      <c r="IQ769" s="1"/>
      <c r="IR769" s="1"/>
      <c r="IS769" s="1"/>
      <c r="IT769" s="1"/>
      <c r="IU769" s="1"/>
    </row>
    <row r="770" spans="14:255" s="30" customFormat="1" ht="12.95" customHeight="1" x14ac:dyDescent="0.2">
      <c r="N770" s="31"/>
      <c r="IB770" s="1"/>
      <c r="IC770" s="1"/>
      <c r="ID770" s="1"/>
      <c r="IE770" s="1"/>
      <c r="IF770" s="1"/>
      <c r="IG770" s="1"/>
      <c r="IH770" s="1"/>
      <c r="II770" s="1"/>
      <c r="IJ770" s="1"/>
      <c r="IK770" s="1"/>
      <c r="IL770" s="1"/>
      <c r="IM770" s="1"/>
      <c r="IN770" s="1"/>
      <c r="IO770" s="1"/>
      <c r="IP770" s="1"/>
      <c r="IQ770" s="1"/>
      <c r="IR770" s="1"/>
      <c r="IS770" s="1"/>
      <c r="IT770" s="1"/>
      <c r="IU770" s="1"/>
    </row>
    <row r="771" spans="14:255" s="30" customFormat="1" ht="12.95" customHeight="1" x14ac:dyDescent="0.2">
      <c r="N771" s="31"/>
      <c r="IB771" s="1"/>
      <c r="IC771" s="1"/>
      <c r="ID771" s="1"/>
      <c r="IE771" s="1"/>
      <c r="IF771" s="1"/>
      <c r="IG771" s="1"/>
      <c r="IH771" s="1"/>
      <c r="II771" s="1"/>
      <c r="IJ771" s="1"/>
      <c r="IK771" s="1"/>
      <c r="IL771" s="1"/>
      <c r="IM771" s="1"/>
      <c r="IN771" s="1"/>
      <c r="IO771" s="1"/>
      <c r="IP771" s="1"/>
      <c r="IQ771" s="1"/>
      <c r="IR771" s="1"/>
      <c r="IS771" s="1"/>
      <c r="IT771" s="1"/>
      <c r="IU771" s="1"/>
    </row>
    <row r="772" spans="14:255" s="30" customFormat="1" ht="12.95" customHeight="1" x14ac:dyDescent="0.2">
      <c r="N772" s="31"/>
      <c r="IB772" s="1"/>
      <c r="IC772" s="1"/>
      <c r="ID772" s="1"/>
      <c r="IE772" s="1"/>
      <c r="IF772" s="1"/>
      <c r="IG772" s="1"/>
      <c r="IH772" s="1"/>
      <c r="II772" s="1"/>
      <c r="IJ772" s="1"/>
      <c r="IK772" s="1"/>
      <c r="IL772" s="1"/>
      <c r="IM772" s="1"/>
      <c r="IN772" s="1"/>
      <c r="IO772" s="1"/>
      <c r="IP772" s="1"/>
      <c r="IQ772" s="1"/>
      <c r="IR772" s="1"/>
      <c r="IS772" s="1"/>
      <c r="IT772" s="1"/>
      <c r="IU772" s="1"/>
    </row>
    <row r="773" spans="14:255" s="30" customFormat="1" ht="12.95" customHeight="1" x14ac:dyDescent="0.2">
      <c r="N773" s="31"/>
      <c r="IB773" s="1"/>
      <c r="IC773" s="1"/>
      <c r="ID773" s="1"/>
      <c r="IE773" s="1"/>
      <c r="IF773" s="1"/>
      <c r="IG773" s="1"/>
      <c r="IH773" s="1"/>
      <c r="II773" s="1"/>
      <c r="IJ773" s="1"/>
      <c r="IK773" s="1"/>
      <c r="IL773" s="1"/>
      <c r="IM773" s="1"/>
      <c r="IN773" s="1"/>
      <c r="IO773" s="1"/>
      <c r="IP773" s="1"/>
      <c r="IQ773" s="1"/>
      <c r="IR773" s="1"/>
      <c r="IS773" s="1"/>
      <c r="IT773" s="1"/>
      <c r="IU773" s="1"/>
    </row>
    <row r="774" spans="14:255" s="30" customFormat="1" ht="12.95" customHeight="1" x14ac:dyDescent="0.2">
      <c r="N774" s="31"/>
      <c r="IB774" s="1"/>
      <c r="IC774" s="1"/>
      <c r="ID774" s="1"/>
      <c r="IE774" s="1"/>
      <c r="IF774" s="1"/>
      <c r="IG774" s="1"/>
      <c r="IH774" s="1"/>
      <c r="II774" s="1"/>
      <c r="IJ774" s="1"/>
      <c r="IK774" s="1"/>
      <c r="IL774" s="1"/>
      <c r="IM774" s="1"/>
      <c r="IN774" s="1"/>
      <c r="IO774" s="1"/>
      <c r="IP774" s="1"/>
      <c r="IQ774" s="1"/>
      <c r="IR774" s="1"/>
      <c r="IS774" s="1"/>
      <c r="IT774" s="1"/>
      <c r="IU774" s="1"/>
    </row>
    <row r="775" spans="14:255" s="30" customFormat="1" ht="12.95" customHeight="1" x14ac:dyDescent="0.2">
      <c r="N775" s="31"/>
      <c r="IB775" s="1"/>
      <c r="IC775" s="1"/>
      <c r="ID775" s="1"/>
      <c r="IE775" s="1"/>
      <c r="IF775" s="1"/>
      <c r="IG775" s="1"/>
      <c r="IH775" s="1"/>
      <c r="II775" s="1"/>
      <c r="IJ775" s="1"/>
      <c r="IK775" s="1"/>
      <c r="IL775" s="1"/>
      <c r="IM775" s="1"/>
      <c r="IN775" s="1"/>
      <c r="IO775" s="1"/>
      <c r="IP775" s="1"/>
      <c r="IQ775" s="1"/>
      <c r="IR775" s="1"/>
      <c r="IS775" s="1"/>
      <c r="IT775" s="1"/>
      <c r="IU775" s="1"/>
    </row>
    <row r="776" spans="14:255" s="30" customFormat="1" ht="12.95" customHeight="1" x14ac:dyDescent="0.2">
      <c r="N776" s="31"/>
      <c r="IB776" s="1"/>
      <c r="IC776" s="1"/>
      <c r="ID776" s="1"/>
      <c r="IE776" s="1"/>
      <c r="IF776" s="1"/>
      <c r="IG776" s="1"/>
      <c r="IH776" s="1"/>
      <c r="II776" s="1"/>
      <c r="IJ776" s="1"/>
      <c r="IK776" s="1"/>
      <c r="IL776" s="1"/>
      <c r="IM776" s="1"/>
      <c r="IN776" s="1"/>
      <c r="IO776" s="1"/>
      <c r="IP776" s="1"/>
      <c r="IQ776" s="1"/>
      <c r="IR776" s="1"/>
      <c r="IS776" s="1"/>
      <c r="IT776" s="1"/>
      <c r="IU776" s="1"/>
    </row>
    <row r="777" spans="14:255" s="30" customFormat="1" ht="12.95" customHeight="1" x14ac:dyDescent="0.2">
      <c r="N777" s="31"/>
      <c r="IB777" s="1"/>
      <c r="IC777" s="1"/>
      <c r="ID777" s="1"/>
      <c r="IE777" s="1"/>
      <c r="IF777" s="1"/>
      <c r="IG777" s="1"/>
      <c r="IH777" s="1"/>
      <c r="II777" s="1"/>
      <c r="IJ777" s="1"/>
      <c r="IK777" s="1"/>
      <c r="IL777" s="1"/>
      <c r="IM777" s="1"/>
      <c r="IN777" s="1"/>
      <c r="IO777" s="1"/>
      <c r="IP777" s="1"/>
      <c r="IQ777" s="1"/>
      <c r="IR777" s="1"/>
      <c r="IS777" s="1"/>
      <c r="IT777" s="1"/>
      <c r="IU777" s="1"/>
    </row>
    <row r="778" spans="14:255" s="30" customFormat="1" ht="12.95" customHeight="1" x14ac:dyDescent="0.2">
      <c r="N778" s="31"/>
      <c r="IB778" s="1"/>
      <c r="IC778" s="1"/>
      <c r="ID778" s="1"/>
      <c r="IE778" s="1"/>
      <c r="IF778" s="1"/>
      <c r="IG778" s="1"/>
      <c r="IH778" s="1"/>
      <c r="II778" s="1"/>
      <c r="IJ778" s="1"/>
      <c r="IK778" s="1"/>
      <c r="IL778" s="1"/>
      <c r="IM778" s="1"/>
      <c r="IN778" s="1"/>
      <c r="IO778" s="1"/>
      <c r="IP778" s="1"/>
      <c r="IQ778" s="1"/>
      <c r="IR778" s="1"/>
      <c r="IS778" s="1"/>
      <c r="IT778" s="1"/>
      <c r="IU778" s="1"/>
    </row>
    <row r="779" spans="14:255" s="30" customFormat="1" ht="12.95" customHeight="1" x14ac:dyDescent="0.2">
      <c r="N779" s="31"/>
      <c r="IB779" s="1"/>
      <c r="IC779" s="1"/>
      <c r="ID779" s="1"/>
      <c r="IE779" s="1"/>
      <c r="IF779" s="1"/>
      <c r="IG779" s="1"/>
      <c r="IH779" s="1"/>
      <c r="II779" s="1"/>
      <c r="IJ779" s="1"/>
      <c r="IK779" s="1"/>
      <c r="IL779" s="1"/>
      <c r="IM779" s="1"/>
      <c r="IN779" s="1"/>
      <c r="IO779" s="1"/>
      <c r="IP779" s="1"/>
      <c r="IQ779" s="1"/>
      <c r="IR779" s="1"/>
      <c r="IS779" s="1"/>
      <c r="IT779" s="1"/>
      <c r="IU779" s="1"/>
    </row>
    <row r="780" spans="14:255" s="30" customFormat="1" ht="12.95" customHeight="1" x14ac:dyDescent="0.2">
      <c r="N780" s="31"/>
      <c r="IB780" s="1"/>
      <c r="IC780" s="1"/>
      <c r="ID780" s="1"/>
      <c r="IE780" s="1"/>
      <c r="IF780" s="1"/>
      <c r="IG780" s="1"/>
      <c r="IH780" s="1"/>
      <c r="II780" s="1"/>
      <c r="IJ780" s="1"/>
      <c r="IK780" s="1"/>
      <c r="IL780" s="1"/>
      <c r="IM780" s="1"/>
      <c r="IN780" s="1"/>
      <c r="IO780" s="1"/>
      <c r="IP780" s="1"/>
      <c r="IQ780" s="1"/>
      <c r="IR780" s="1"/>
      <c r="IS780" s="1"/>
      <c r="IT780" s="1"/>
      <c r="IU780" s="1"/>
    </row>
    <row r="781" spans="14:255" s="30" customFormat="1" ht="12.95" customHeight="1" x14ac:dyDescent="0.2">
      <c r="N781" s="31"/>
      <c r="IB781" s="1"/>
      <c r="IC781" s="1"/>
      <c r="ID781" s="1"/>
      <c r="IE781" s="1"/>
      <c r="IF781" s="1"/>
      <c r="IG781" s="1"/>
      <c r="IH781" s="1"/>
      <c r="II781" s="1"/>
      <c r="IJ781" s="1"/>
      <c r="IK781" s="1"/>
      <c r="IL781" s="1"/>
      <c r="IM781" s="1"/>
      <c r="IN781" s="1"/>
      <c r="IO781" s="1"/>
      <c r="IP781" s="1"/>
      <c r="IQ781" s="1"/>
      <c r="IR781" s="1"/>
      <c r="IS781" s="1"/>
      <c r="IT781" s="1"/>
      <c r="IU781" s="1"/>
    </row>
    <row r="782" spans="14:255" s="30" customFormat="1" ht="12.95" customHeight="1" x14ac:dyDescent="0.2">
      <c r="N782" s="31"/>
      <c r="IB782" s="1"/>
      <c r="IC782" s="1"/>
      <c r="ID782" s="1"/>
      <c r="IE782" s="1"/>
      <c r="IF782" s="1"/>
      <c r="IG782" s="1"/>
      <c r="IH782" s="1"/>
      <c r="II782" s="1"/>
      <c r="IJ782" s="1"/>
      <c r="IK782" s="1"/>
      <c r="IL782" s="1"/>
      <c r="IM782" s="1"/>
      <c r="IN782" s="1"/>
      <c r="IO782" s="1"/>
      <c r="IP782" s="1"/>
      <c r="IQ782" s="1"/>
      <c r="IR782" s="1"/>
      <c r="IS782" s="1"/>
      <c r="IT782" s="1"/>
      <c r="IU782" s="1"/>
    </row>
    <row r="783" spans="14:255" s="30" customFormat="1" ht="12.95" customHeight="1" x14ac:dyDescent="0.2">
      <c r="N783" s="31"/>
      <c r="IB783" s="1"/>
      <c r="IC783" s="1"/>
      <c r="ID783" s="1"/>
      <c r="IE783" s="1"/>
      <c r="IF783" s="1"/>
      <c r="IG783" s="1"/>
      <c r="IH783" s="1"/>
      <c r="II783" s="1"/>
      <c r="IJ783" s="1"/>
      <c r="IK783" s="1"/>
      <c r="IL783" s="1"/>
      <c r="IM783" s="1"/>
      <c r="IN783" s="1"/>
      <c r="IO783" s="1"/>
      <c r="IP783" s="1"/>
      <c r="IQ783" s="1"/>
      <c r="IR783" s="1"/>
      <c r="IS783" s="1"/>
      <c r="IT783" s="1"/>
      <c r="IU783" s="1"/>
    </row>
    <row r="784" spans="14:255" s="30" customFormat="1" ht="12.95" customHeight="1" x14ac:dyDescent="0.2">
      <c r="N784" s="31"/>
      <c r="IB784" s="1"/>
      <c r="IC784" s="1"/>
      <c r="ID784" s="1"/>
      <c r="IE784" s="1"/>
      <c r="IF784" s="1"/>
      <c r="IG784" s="1"/>
      <c r="IH784" s="1"/>
      <c r="II784" s="1"/>
      <c r="IJ784" s="1"/>
      <c r="IK784" s="1"/>
      <c r="IL784" s="1"/>
      <c r="IM784" s="1"/>
      <c r="IN784" s="1"/>
      <c r="IO784" s="1"/>
      <c r="IP784" s="1"/>
      <c r="IQ784" s="1"/>
      <c r="IR784" s="1"/>
      <c r="IS784" s="1"/>
      <c r="IT784" s="1"/>
      <c r="IU784" s="1"/>
    </row>
    <row r="785" spans="14:255" s="30" customFormat="1" ht="12.95" customHeight="1" x14ac:dyDescent="0.2">
      <c r="N785" s="31"/>
      <c r="IB785" s="1"/>
      <c r="IC785" s="1"/>
      <c r="ID785" s="1"/>
      <c r="IE785" s="1"/>
      <c r="IF785" s="1"/>
      <c r="IG785" s="1"/>
      <c r="IH785" s="1"/>
      <c r="II785" s="1"/>
      <c r="IJ785" s="1"/>
      <c r="IK785" s="1"/>
      <c r="IL785" s="1"/>
      <c r="IM785" s="1"/>
      <c r="IN785" s="1"/>
      <c r="IO785" s="1"/>
      <c r="IP785" s="1"/>
      <c r="IQ785" s="1"/>
      <c r="IR785" s="1"/>
      <c r="IS785" s="1"/>
      <c r="IT785" s="1"/>
      <c r="IU785" s="1"/>
    </row>
    <row r="786" spans="14:255" s="30" customFormat="1" ht="12.95" customHeight="1" x14ac:dyDescent="0.2">
      <c r="N786" s="31"/>
      <c r="IB786" s="1"/>
      <c r="IC786" s="1"/>
      <c r="ID786" s="1"/>
      <c r="IE786" s="1"/>
      <c r="IF786" s="1"/>
      <c r="IG786" s="1"/>
      <c r="IH786" s="1"/>
      <c r="II786" s="1"/>
      <c r="IJ786" s="1"/>
      <c r="IK786" s="1"/>
      <c r="IL786" s="1"/>
      <c r="IM786" s="1"/>
      <c r="IN786" s="1"/>
      <c r="IO786" s="1"/>
      <c r="IP786" s="1"/>
      <c r="IQ786" s="1"/>
      <c r="IR786" s="1"/>
      <c r="IS786" s="1"/>
      <c r="IT786" s="1"/>
      <c r="IU786" s="1"/>
    </row>
    <row r="787" spans="14:255" s="30" customFormat="1" ht="12.95" customHeight="1" x14ac:dyDescent="0.2">
      <c r="N787" s="31"/>
      <c r="IB787" s="1"/>
      <c r="IC787" s="1"/>
      <c r="ID787" s="1"/>
      <c r="IE787" s="1"/>
      <c r="IF787" s="1"/>
      <c r="IG787" s="1"/>
      <c r="IH787" s="1"/>
      <c r="II787" s="1"/>
      <c r="IJ787" s="1"/>
      <c r="IK787" s="1"/>
      <c r="IL787" s="1"/>
      <c r="IM787" s="1"/>
      <c r="IN787" s="1"/>
      <c r="IO787" s="1"/>
      <c r="IP787" s="1"/>
      <c r="IQ787" s="1"/>
      <c r="IR787" s="1"/>
      <c r="IS787" s="1"/>
      <c r="IT787" s="1"/>
      <c r="IU787" s="1"/>
    </row>
    <row r="788" spans="14:255" s="30" customFormat="1" ht="12.95" customHeight="1" x14ac:dyDescent="0.2">
      <c r="N788" s="31"/>
      <c r="IB788" s="1"/>
      <c r="IC788" s="1"/>
      <c r="ID788" s="1"/>
      <c r="IE788" s="1"/>
      <c r="IF788" s="1"/>
      <c r="IG788" s="1"/>
      <c r="IH788" s="1"/>
      <c r="II788" s="1"/>
      <c r="IJ788" s="1"/>
      <c r="IK788" s="1"/>
      <c r="IL788" s="1"/>
      <c r="IM788" s="1"/>
      <c r="IN788" s="1"/>
      <c r="IO788" s="1"/>
      <c r="IP788" s="1"/>
      <c r="IQ788" s="1"/>
      <c r="IR788" s="1"/>
      <c r="IS788" s="1"/>
      <c r="IT788" s="1"/>
      <c r="IU788" s="1"/>
    </row>
    <row r="789" spans="14:255" s="30" customFormat="1" ht="12.95" customHeight="1" x14ac:dyDescent="0.2">
      <c r="N789" s="31"/>
      <c r="IB789" s="1"/>
      <c r="IC789" s="1"/>
      <c r="ID789" s="1"/>
      <c r="IE789" s="1"/>
      <c r="IF789" s="1"/>
      <c r="IG789" s="1"/>
      <c r="IH789" s="1"/>
      <c r="II789" s="1"/>
      <c r="IJ789" s="1"/>
      <c r="IK789" s="1"/>
      <c r="IL789" s="1"/>
      <c r="IM789" s="1"/>
      <c r="IN789" s="1"/>
      <c r="IO789" s="1"/>
      <c r="IP789" s="1"/>
      <c r="IQ789" s="1"/>
      <c r="IR789" s="1"/>
      <c r="IS789" s="1"/>
      <c r="IT789" s="1"/>
      <c r="IU789" s="1"/>
    </row>
    <row r="790" spans="14:255" s="30" customFormat="1" ht="12.95" customHeight="1" x14ac:dyDescent="0.2">
      <c r="N790" s="31"/>
      <c r="IB790" s="1"/>
      <c r="IC790" s="1"/>
      <c r="ID790" s="1"/>
      <c r="IE790" s="1"/>
      <c r="IF790" s="1"/>
      <c r="IG790" s="1"/>
      <c r="IH790" s="1"/>
      <c r="II790" s="1"/>
      <c r="IJ790" s="1"/>
      <c r="IK790" s="1"/>
      <c r="IL790" s="1"/>
      <c r="IM790" s="1"/>
      <c r="IN790" s="1"/>
      <c r="IO790" s="1"/>
      <c r="IP790" s="1"/>
      <c r="IQ790" s="1"/>
      <c r="IR790" s="1"/>
      <c r="IS790" s="1"/>
      <c r="IT790" s="1"/>
      <c r="IU790" s="1"/>
    </row>
    <row r="791" spans="14:255" s="30" customFormat="1" ht="12.95" customHeight="1" x14ac:dyDescent="0.2">
      <c r="N791" s="31"/>
      <c r="IB791" s="1"/>
      <c r="IC791" s="1"/>
      <c r="ID791" s="1"/>
      <c r="IE791" s="1"/>
      <c r="IF791" s="1"/>
      <c r="IG791" s="1"/>
      <c r="IH791" s="1"/>
      <c r="II791" s="1"/>
      <c r="IJ791" s="1"/>
      <c r="IK791" s="1"/>
      <c r="IL791" s="1"/>
      <c r="IM791" s="1"/>
      <c r="IN791" s="1"/>
      <c r="IO791" s="1"/>
      <c r="IP791" s="1"/>
      <c r="IQ791" s="1"/>
      <c r="IR791" s="1"/>
      <c r="IS791" s="1"/>
      <c r="IT791" s="1"/>
      <c r="IU791" s="1"/>
    </row>
    <row r="792" spans="14:255" s="30" customFormat="1" ht="12.95" customHeight="1" x14ac:dyDescent="0.2">
      <c r="N792" s="31"/>
      <c r="IB792" s="1"/>
      <c r="IC792" s="1"/>
      <c r="ID792" s="1"/>
      <c r="IE792" s="1"/>
      <c r="IF792" s="1"/>
      <c r="IG792" s="1"/>
      <c r="IH792" s="1"/>
      <c r="II792" s="1"/>
      <c r="IJ792" s="1"/>
      <c r="IK792" s="1"/>
      <c r="IL792" s="1"/>
      <c r="IM792" s="1"/>
      <c r="IN792" s="1"/>
      <c r="IO792" s="1"/>
      <c r="IP792" s="1"/>
      <c r="IQ792" s="1"/>
      <c r="IR792" s="1"/>
      <c r="IS792" s="1"/>
      <c r="IT792" s="1"/>
      <c r="IU792" s="1"/>
    </row>
    <row r="793" spans="14:255" s="30" customFormat="1" ht="12.95" customHeight="1" x14ac:dyDescent="0.2">
      <c r="N793" s="31"/>
      <c r="IB793" s="1"/>
      <c r="IC793" s="1"/>
      <c r="ID793" s="1"/>
      <c r="IE793" s="1"/>
      <c r="IF793" s="1"/>
      <c r="IG793" s="1"/>
      <c r="IH793" s="1"/>
      <c r="II793" s="1"/>
      <c r="IJ793" s="1"/>
      <c r="IK793" s="1"/>
      <c r="IL793" s="1"/>
      <c r="IM793" s="1"/>
      <c r="IN793" s="1"/>
      <c r="IO793" s="1"/>
      <c r="IP793" s="1"/>
      <c r="IQ793" s="1"/>
      <c r="IR793" s="1"/>
      <c r="IS793" s="1"/>
      <c r="IT793" s="1"/>
      <c r="IU793" s="1"/>
    </row>
    <row r="794" spans="14:255" s="30" customFormat="1" ht="12.95" customHeight="1" x14ac:dyDescent="0.2">
      <c r="N794" s="31"/>
      <c r="IB794" s="1"/>
      <c r="IC794" s="1"/>
      <c r="ID794" s="1"/>
      <c r="IE794" s="1"/>
      <c r="IF794" s="1"/>
      <c r="IG794" s="1"/>
      <c r="IH794" s="1"/>
      <c r="II794" s="1"/>
      <c r="IJ794" s="1"/>
      <c r="IK794" s="1"/>
      <c r="IL794" s="1"/>
      <c r="IM794" s="1"/>
      <c r="IN794" s="1"/>
      <c r="IO794" s="1"/>
      <c r="IP794" s="1"/>
      <c r="IQ794" s="1"/>
      <c r="IR794" s="1"/>
      <c r="IS794" s="1"/>
      <c r="IT794" s="1"/>
      <c r="IU794" s="1"/>
    </row>
    <row r="795" spans="14:255" s="30" customFormat="1" ht="12.95" customHeight="1" x14ac:dyDescent="0.2">
      <c r="N795" s="31"/>
      <c r="IB795" s="1"/>
      <c r="IC795" s="1"/>
      <c r="ID795" s="1"/>
      <c r="IE795" s="1"/>
      <c r="IF795" s="1"/>
      <c r="IG795" s="1"/>
      <c r="IH795" s="1"/>
      <c r="II795" s="1"/>
      <c r="IJ795" s="1"/>
      <c r="IK795" s="1"/>
      <c r="IL795" s="1"/>
      <c r="IM795" s="1"/>
      <c r="IN795" s="1"/>
      <c r="IO795" s="1"/>
      <c r="IP795" s="1"/>
      <c r="IQ795" s="1"/>
      <c r="IR795" s="1"/>
      <c r="IS795" s="1"/>
      <c r="IT795" s="1"/>
      <c r="IU795" s="1"/>
    </row>
    <row r="796" spans="14:255" s="30" customFormat="1" ht="12.95" customHeight="1" x14ac:dyDescent="0.2">
      <c r="N796" s="31"/>
      <c r="IB796" s="1"/>
      <c r="IC796" s="1"/>
      <c r="ID796" s="1"/>
      <c r="IE796" s="1"/>
      <c r="IF796" s="1"/>
      <c r="IG796" s="1"/>
      <c r="IH796" s="1"/>
      <c r="II796" s="1"/>
      <c r="IJ796" s="1"/>
      <c r="IK796" s="1"/>
      <c r="IL796" s="1"/>
      <c r="IM796" s="1"/>
      <c r="IN796" s="1"/>
      <c r="IO796" s="1"/>
      <c r="IP796" s="1"/>
      <c r="IQ796" s="1"/>
      <c r="IR796" s="1"/>
      <c r="IS796" s="1"/>
      <c r="IT796" s="1"/>
      <c r="IU796" s="1"/>
    </row>
    <row r="797" spans="14:255" s="30" customFormat="1" ht="12.95" customHeight="1" x14ac:dyDescent="0.2">
      <c r="N797" s="31"/>
      <c r="IB797" s="1"/>
      <c r="IC797" s="1"/>
      <c r="ID797" s="1"/>
      <c r="IE797" s="1"/>
      <c r="IF797" s="1"/>
      <c r="IG797" s="1"/>
      <c r="IH797" s="1"/>
      <c r="II797" s="1"/>
      <c r="IJ797" s="1"/>
      <c r="IK797" s="1"/>
      <c r="IL797" s="1"/>
      <c r="IM797" s="1"/>
      <c r="IN797" s="1"/>
      <c r="IO797" s="1"/>
      <c r="IP797" s="1"/>
      <c r="IQ797" s="1"/>
      <c r="IR797" s="1"/>
      <c r="IS797" s="1"/>
      <c r="IT797" s="1"/>
      <c r="IU797" s="1"/>
    </row>
    <row r="798" spans="14:255" s="30" customFormat="1" ht="12.95" customHeight="1" x14ac:dyDescent="0.2">
      <c r="N798" s="31"/>
      <c r="IB798" s="1"/>
      <c r="IC798" s="1"/>
      <c r="ID798" s="1"/>
      <c r="IE798" s="1"/>
      <c r="IF798" s="1"/>
      <c r="IG798" s="1"/>
      <c r="IH798" s="1"/>
      <c r="II798" s="1"/>
      <c r="IJ798" s="1"/>
      <c r="IK798" s="1"/>
      <c r="IL798" s="1"/>
      <c r="IM798" s="1"/>
      <c r="IN798" s="1"/>
      <c r="IO798" s="1"/>
      <c r="IP798" s="1"/>
      <c r="IQ798" s="1"/>
      <c r="IR798" s="1"/>
      <c r="IS798" s="1"/>
      <c r="IT798" s="1"/>
      <c r="IU798" s="1"/>
    </row>
    <row r="799" spans="14:255" s="30" customFormat="1" ht="12.95" customHeight="1" x14ac:dyDescent="0.2">
      <c r="N799" s="31"/>
      <c r="IB799" s="1"/>
      <c r="IC799" s="1"/>
      <c r="ID799" s="1"/>
      <c r="IE799" s="1"/>
      <c r="IF799" s="1"/>
      <c r="IG799" s="1"/>
      <c r="IH799" s="1"/>
      <c r="II799" s="1"/>
      <c r="IJ799" s="1"/>
      <c r="IK799" s="1"/>
      <c r="IL799" s="1"/>
      <c r="IM799" s="1"/>
      <c r="IN799" s="1"/>
      <c r="IO799" s="1"/>
      <c r="IP799" s="1"/>
      <c r="IQ799" s="1"/>
      <c r="IR799" s="1"/>
      <c r="IS799" s="1"/>
      <c r="IT799" s="1"/>
      <c r="IU799" s="1"/>
    </row>
    <row r="800" spans="14:255" s="30" customFormat="1" ht="12.95" customHeight="1" x14ac:dyDescent="0.2">
      <c r="N800" s="31"/>
      <c r="IB800" s="1"/>
      <c r="IC800" s="1"/>
      <c r="ID800" s="1"/>
      <c r="IE800" s="1"/>
      <c r="IF800" s="1"/>
      <c r="IG800" s="1"/>
      <c r="IH800" s="1"/>
      <c r="II800" s="1"/>
      <c r="IJ800" s="1"/>
      <c r="IK800" s="1"/>
      <c r="IL800" s="1"/>
      <c r="IM800" s="1"/>
      <c r="IN800" s="1"/>
      <c r="IO800" s="1"/>
      <c r="IP800" s="1"/>
      <c r="IQ800" s="1"/>
      <c r="IR800" s="1"/>
      <c r="IS800" s="1"/>
      <c r="IT800" s="1"/>
      <c r="IU800" s="1"/>
    </row>
    <row r="801" spans="14:255" s="30" customFormat="1" ht="12.95" customHeight="1" x14ac:dyDescent="0.2">
      <c r="N801" s="31"/>
      <c r="IB801" s="1"/>
      <c r="IC801" s="1"/>
      <c r="ID801" s="1"/>
      <c r="IE801" s="1"/>
      <c r="IF801" s="1"/>
      <c r="IG801" s="1"/>
      <c r="IH801" s="1"/>
      <c r="II801" s="1"/>
      <c r="IJ801" s="1"/>
      <c r="IK801" s="1"/>
      <c r="IL801" s="1"/>
      <c r="IM801" s="1"/>
      <c r="IN801" s="1"/>
      <c r="IO801" s="1"/>
      <c r="IP801" s="1"/>
      <c r="IQ801" s="1"/>
      <c r="IR801" s="1"/>
      <c r="IS801" s="1"/>
      <c r="IT801" s="1"/>
      <c r="IU801" s="1"/>
    </row>
    <row r="802" spans="14:255" s="30" customFormat="1" ht="12.95" customHeight="1" x14ac:dyDescent="0.2">
      <c r="N802" s="31"/>
      <c r="IB802" s="1"/>
      <c r="IC802" s="1"/>
      <c r="ID802" s="1"/>
      <c r="IE802" s="1"/>
      <c r="IF802" s="1"/>
      <c r="IG802" s="1"/>
      <c r="IH802" s="1"/>
      <c r="II802" s="1"/>
      <c r="IJ802" s="1"/>
      <c r="IK802" s="1"/>
      <c r="IL802" s="1"/>
      <c r="IM802" s="1"/>
      <c r="IN802" s="1"/>
      <c r="IO802" s="1"/>
      <c r="IP802" s="1"/>
      <c r="IQ802" s="1"/>
      <c r="IR802" s="1"/>
      <c r="IS802" s="1"/>
      <c r="IT802" s="1"/>
      <c r="IU802" s="1"/>
    </row>
    <row r="803" spans="14:255" s="30" customFormat="1" ht="12.95" customHeight="1" x14ac:dyDescent="0.2">
      <c r="N803" s="31"/>
      <c r="IB803" s="1"/>
      <c r="IC803" s="1"/>
      <c r="ID803" s="1"/>
      <c r="IE803" s="1"/>
      <c r="IF803" s="1"/>
      <c r="IG803" s="1"/>
      <c r="IH803" s="1"/>
      <c r="II803" s="1"/>
      <c r="IJ803" s="1"/>
      <c r="IK803" s="1"/>
      <c r="IL803" s="1"/>
      <c r="IM803" s="1"/>
      <c r="IN803" s="1"/>
      <c r="IO803" s="1"/>
      <c r="IP803" s="1"/>
      <c r="IQ803" s="1"/>
      <c r="IR803" s="1"/>
      <c r="IS803" s="1"/>
      <c r="IT803" s="1"/>
      <c r="IU803" s="1"/>
    </row>
    <row r="804" spans="14:255" s="30" customFormat="1" ht="12.95" customHeight="1" x14ac:dyDescent="0.2">
      <c r="N804" s="31"/>
      <c r="IB804" s="1"/>
      <c r="IC804" s="1"/>
      <c r="ID804" s="1"/>
      <c r="IE804" s="1"/>
      <c r="IF804" s="1"/>
      <c r="IG804" s="1"/>
      <c r="IH804" s="1"/>
      <c r="II804" s="1"/>
      <c r="IJ804" s="1"/>
      <c r="IK804" s="1"/>
      <c r="IL804" s="1"/>
      <c r="IM804" s="1"/>
      <c r="IN804" s="1"/>
      <c r="IO804" s="1"/>
      <c r="IP804" s="1"/>
      <c r="IQ804" s="1"/>
      <c r="IR804" s="1"/>
      <c r="IS804" s="1"/>
      <c r="IT804" s="1"/>
      <c r="IU804" s="1"/>
    </row>
    <row r="805" spans="14:255" s="30" customFormat="1" ht="12.95" customHeight="1" x14ac:dyDescent="0.2">
      <c r="N805" s="31"/>
      <c r="IB805" s="1"/>
      <c r="IC805" s="1"/>
      <c r="ID805" s="1"/>
      <c r="IE805" s="1"/>
      <c r="IF805" s="1"/>
      <c r="IG805" s="1"/>
      <c r="IH805" s="1"/>
      <c r="II805" s="1"/>
      <c r="IJ805" s="1"/>
      <c r="IK805" s="1"/>
      <c r="IL805" s="1"/>
      <c r="IM805" s="1"/>
      <c r="IN805" s="1"/>
      <c r="IO805" s="1"/>
      <c r="IP805" s="1"/>
      <c r="IQ805" s="1"/>
      <c r="IR805" s="1"/>
      <c r="IS805" s="1"/>
      <c r="IT805" s="1"/>
      <c r="IU805" s="1"/>
    </row>
    <row r="806" spans="14:255" s="30" customFormat="1" ht="12.95" customHeight="1" x14ac:dyDescent="0.2">
      <c r="N806" s="31"/>
      <c r="IB806" s="1"/>
      <c r="IC806" s="1"/>
      <c r="ID806" s="1"/>
      <c r="IE806" s="1"/>
      <c r="IF806" s="1"/>
      <c r="IG806" s="1"/>
      <c r="IH806" s="1"/>
      <c r="II806" s="1"/>
      <c r="IJ806" s="1"/>
      <c r="IK806" s="1"/>
      <c r="IL806" s="1"/>
      <c r="IM806" s="1"/>
      <c r="IN806" s="1"/>
      <c r="IO806" s="1"/>
      <c r="IP806" s="1"/>
      <c r="IQ806" s="1"/>
      <c r="IR806" s="1"/>
      <c r="IS806" s="1"/>
      <c r="IT806" s="1"/>
      <c r="IU806" s="1"/>
    </row>
    <row r="807" spans="14:255" s="30" customFormat="1" ht="12.95" customHeight="1" x14ac:dyDescent="0.2">
      <c r="N807" s="31"/>
      <c r="IB807" s="1"/>
      <c r="IC807" s="1"/>
      <c r="ID807" s="1"/>
      <c r="IE807" s="1"/>
      <c r="IF807" s="1"/>
      <c r="IG807" s="1"/>
      <c r="IH807" s="1"/>
      <c r="II807" s="1"/>
      <c r="IJ807" s="1"/>
      <c r="IK807" s="1"/>
      <c r="IL807" s="1"/>
      <c r="IM807" s="1"/>
      <c r="IN807" s="1"/>
      <c r="IO807" s="1"/>
      <c r="IP807" s="1"/>
      <c r="IQ807" s="1"/>
      <c r="IR807" s="1"/>
      <c r="IS807" s="1"/>
      <c r="IT807" s="1"/>
      <c r="IU807" s="1"/>
    </row>
    <row r="808" spans="14:255" s="30" customFormat="1" ht="12.95" customHeight="1" x14ac:dyDescent="0.2">
      <c r="N808" s="31"/>
      <c r="IB808" s="1"/>
      <c r="IC808" s="1"/>
      <c r="ID808" s="1"/>
      <c r="IE808" s="1"/>
      <c r="IF808" s="1"/>
      <c r="IG808" s="1"/>
      <c r="IH808" s="1"/>
      <c r="II808" s="1"/>
      <c r="IJ808" s="1"/>
      <c r="IK808" s="1"/>
      <c r="IL808" s="1"/>
      <c r="IM808" s="1"/>
      <c r="IN808" s="1"/>
      <c r="IO808" s="1"/>
      <c r="IP808" s="1"/>
      <c r="IQ808" s="1"/>
      <c r="IR808" s="1"/>
      <c r="IS808" s="1"/>
      <c r="IT808" s="1"/>
      <c r="IU808" s="1"/>
    </row>
    <row r="809" spans="14:255" s="30" customFormat="1" ht="12.95" customHeight="1" x14ac:dyDescent="0.2">
      <c r="N809" s="31"/>
      <c r="IB809" s="1"/>
      <c r="IC809" s="1"/>
      <c r="ID809" s="1"/>
      <c r="IE809" s="1"/>
      <c r="IF809" s="1"/>
      <c r="IG809" s="1"/>
      <c r="IH809" s="1"/>
      <c r="II809" s="1"/>
      <c r="IJ809" s="1"/>
      <c r="IK809" s="1"/>
      <c r="IL809" s="1"/>
      <c r="IM809" s="1"/>
      <c r="IN809" s="1"/>
      <c r="IO809" s="1"/>
      <c r="IP809" s="1"/>
      <c r="IQ809" s="1"/>
      <c r="IR809" s="1"/>
      <c r="IS809" s="1"/>
      <c r="IT809" s="1"/>
      <c r="IU809" s="1"/>
    </row>
    <row r="810" spans="14:255" s="30" customFormat="1" ht="12.95" customHeight="1" x14ac:dyDescent="0.2">
      <c r="N810" s="31"/>
      <c r="IB810" s="1"/>
      <c r="IC810" s="1"/>
      <c r="ID810" s="1"/>
      <c r="IE810" s="1"/>
      <c r="IF810" s="1"/>
      <c r="IG810" s="1"/>
      <c r="IH810" s="1"/>
      <c r="II810" s="1"/>
      <c r="IJ810" s="1"/>
      <c r="IK810" s="1"/>
      <c r="IL810" s="1"/>
      <c r="IM810" s="1"/>
      <c r="IN810" s="1"/>
      <c r="IO810" s="1"/>
      <c r="IP810" s="1"/>
      <c r="IQ810" s="1"/>
      <c r="IR810" s="1"/>
      <c r="IS810" s="1"/>
      <c r="IT810" s="1"/>
      <c r="IU810" s="1"/>
    </row>
    <row r="811" spans="14:255" s="30" customFormat="1" ht="12.95" customHeight="1" x14ac:dyDescent="0.2">
      <c r="N811" s="31"/>
      <c r="IB811" s="1"/>
      <c r="IC811" s="1"/>
      <c r="ID811" s="1"/>
      <c r="IE811" s="1"/>
      <c r="IF811" s="1"/>
      <c r="IG811" s="1"/>
      <c r="IH811" s="1"/>
      <c r="II811" s="1"/>
      <c r="IJ811" s="1"/>
      <c r="IK811" s="1"/>
      <c r="IL811" s="1"/>
      <c r="IM811" s="1"/>
      <c r="IN811" s="1"/>
      <c r="IO811" s="1"/>
      <c r="IP811" s="1"/>
      <c r="IQ811" s="1"/>
      <c r="IR811" s="1"/>
      <c r="IS811" s="1"/>
      <c r="IT811" s="1"/>
      <c r="IU811" s="1"/>
    </row>
    <row r="812" spans="14:255" s="30" customFormat="1" ht="12.95" customHeight="1" x14ac:dyDescent="0.2">
      <c r="N812" s="31"/>
      <c r="IB812" s="1"/>
      <c r="IC812" s="1"/>
      <c r="ID812" s="1"/>
      <c r="IE812" s="1"/>
      <c r="IF812" s="1"/>
      <c r="IG812" s="1"/>
      <c r="IH812" s="1"/>
      <c r="II812" s="1"/>
      <c r="IJ812" s="1"/>
      <c r="IK812" s="1"/>
      <c r="IL812" s="1"/>
      <c r="IM812" s="1"/>
      <c r="IN812" s="1"/>
      <c r="IO812" s="1"/>
      <c r="IP812" s="1"/>
      <c r="IQ812" s="1"/>
      <c r="IR812" s="1"/>
      <c r="IS812" s="1"/>
      <c r="IT812" s="1"/>
      <c r="IU812" s="1"/>
    </row>
    <row r="813" spans="14:255" s="30" customFormat="1" ht="12.95" customHeight="1" x14ac:dyDescent="0.2">
      <c r="N813" s="31"/>
      <c r="IB813" s="1"/>
      <c r="IC813" s="1"/>
      <c r="ID813" s="1"/>
      <c r="IE813" s="1"/>
      <c r="IF813" s="1"/>
      <c r="IG813" s="1"/>
      <c r="IH813" s="1"/>
      <c r="II813" s="1"/>
      <c r="IJ813" s="1"/>
      <c r="IK813" s="1"/>
      <c r="IL813" s="1"/>
      <c r="IM813" s="1"/>
      <c r="IN813" s="1"/>
      <c r="IO813" s="1"/>
      <c r="IP813" s="1"/>
      <c r="IQ813" s="1"/>
      <c r="IR813" s="1"/>
      <c r="IS813" s="1"/>
      <c r="IT813" s="1"/>
      <c r="IU813" s="1"/>
    </row>
    <row r="814" spans="14:255" s="30" customFormat="1" ht="12.95" customHeight="1" x14ac:dyDescent="0.2">
      <c r="N814" s="31"/>
      <c r="IB814" s="1"/>
      <c r="IC814" s="1"/>
      <c r="ID814" s="1"/>
      <c r="IE814" s="1"/>
      <c r="IF814" s="1"/>
      <c r="IG814" s="1"/>
      <c r="IH814" s="1"/>
      <c r="II814" s="1"/>
      <c r="IJ814" s="1"/>
      <c r="IK814" s="1"/>
      <c r="IL814" s="1"/>
      <c r="IM814" s="1"/>
      <c r="IN814" s="1"/>
      <c r="IO814" s="1"/>
      <c r="IP814" s="1"/>
      <c r="IQ814" s="1"/>
      <c r="IR814" s="1"/>
      <c r="IS814" s="1"/>
      <c r="IT814" s="1"/>
      <c r="IU814" s="1"/>
    </row>
    <row r="1041" ht="13.5" customHeight="1" x14ac:dyDescent="0.2"/>
    <row r="1042" ht="13.5" customHeight="1" x14ac:dyDescent="0.2"/>
    <row r="1043" ht="13.5" customHeight="1" x14ac:dyDescent="0.2"/>
    <row r="1044" ht="13.5" customHeight="1" x14ac:dyDescent="0.2"/>
    <row r="1045" ht="13.5" customHeight="1" x14ac:dyDescent="0.2"/>
    <row r="1046" ht="13.5" customHeight="1" x14ac:dyDescent="0.2"/>
    <row r="1047" ht="13.5" customHeight="1" x14ac:dyDescent="0.2"/>
    <row r="1048" ht="13.5" customHeight="1" x14ac:dyDescent="0.2"/>
    <row r="1049" ht="13.5" customHeight="1" x14ac:dyDescent="0.2"/>
    <row r="1050" ht="13.5" customHeight="1" x14ac:dyDescent="0.2"/>
    <row r="1051" ht="13.5" customHeight="1" x14ac:dyDescent="0.2"/>
    <row r="1052" ht="13.5" customHeight="1" x14ac:dyDescent="0.2"/>
    <row r="1053" ht="13.5" customHeight="1" x14ac:dyDescent="0.2"/>
    <row r="1054" ht="13.5" customHeight="1" x14ac:dyDescent="0.2"/>
    <row r="1055" ht="13.5" customHeight="1" x14ac:dyDescent="0.2"/>
    <row r="1056" ht="13.5" customHeight="1" x14ac:dyDescent="0.2"/>
    <row r="1057" ht="13.5" customHeight="1" x14ac:dyDescent="0.2"/>
    <row r="1058" ht="13.5" customHeight="1" x14ac:dyDescent="0.2"/>
    <row r="1059" ht="13.5" customHeight="1" x14ac:dyDescent="0.2"/>
    <row r="1060" ht="13.5" customHeight="1" x14ac:dyDescent="0.2"/>
    <row r="1061" ht="13.5" customHeight="1" x14ac:dyDescent="0.2"/>
    <row r="1062" ht="13.5" customHeight="1" x14ac:dyDescent="0.2"/>
    <row r="1063" ht="13.5" customHeight="1" x14ac:dyDescent="0.2"/>
    <row r="1064" ht="13.5" customHeight="1" x14ac:dyDescent="0.2"/>
    <row r="1065" ht="13.5" customHeight="1" x14ac:dyDescent="0.2"/>
    <row r="1066" ht="13.5" customHeight="1" x14ac:dyDescent="0.2"/>
    <row r="1067" ht="13.5" customHeight="1" x14ac:dyDescent="0.2"/>
    <row r="1068" ht="13.5" customHeight="1" x14ac:dyDescent="0.2"/>
    <row r="1069" ht="13.5" customHeight="1" x14ac:dyDescent="0.2"/>
    <row r="1070" ht="13.5" customHeight="1" x14ac:dyDescent="0.2"/>
    <row r="1071" ht="13.5" customHeight="1" x14ac:dyDescent="0.2"/>
    <row r="1072" ht="13.5" customHeight="1" x14ac:dyDescent="0.2"/>
    <row r="1073" ht="13.5" customHeight="1" x14ac:dyDescent="0.2"/>
    <row r="1074" ht="13.5" customHeight="1" x14ac:dyDescent="0.2"/>
    <row r="1075" ht="13.5" customHeight="1" x14ac:dyDescent="0.2"/>
    <row r="1076" ht="13.5" customHeight="1" x14ac:dyDescent="0.2"/>
    <row r="1077" ht="13.5" customHeight="1" x14ac:dyDescent="0.2"/>
    <row r="1078" ht="13.5" customHeight="1" x14ac:dyDescent="0.2"/>
    <row r="1079" ht="13.5" customHeight="1" x14ac:dyDescent="0.2"/>
    <row r="1080" ht="13.5" customHeight="1" x14ac:dyDescent="0.2"/>
    <row r="1081" ht="13.5" customHeight="1" x14ac:dyDescent="0.2"/>
    <row r="1082" ht="13.5" customHeight="1" x14ac:dyDescent="0.2"/>
    <row r="1083" ht="13.5" customHeight="1" x14ac:dyDescent="0.2"/>
    <row r="1084" ht="13.5" customHeight="1" x14ac:dyDescent="0.2"/>
    <row r="1085" ht="13.5" customHeight="1" x14ac:dyDescent="0.2"/>
    <row r="1086" ht="13.5" customHeight="1" x14ac:dyDescent="0.2"/>
    <row r="1087" ht="13.5" customHeight="1" x14ac:dyDescent="0.2"/>
    <row r="1088" ht="13.5" customHeight="1" x14ac:dyDescent="0.2"/>
    <row r="1089" ht="13.5" customHeight="1" x14ac:dyDescent="0.2"/>
    <row r="1090" ht="13.5" customHeight="1" x14ac:dyDescent="0.2"/>
    <row r="1091" ht="13.5" customHeight="1" x14ac:dyDescent="0.2"/>
    <row r="1092" ht="13.5" customHeight="1" x14ac:dyDescent="0.2"/>
    <row r="1093" ht="13.5" customHeight="1" x14ac:dyDescent="0.2"/>
    <row r="1094" ht="13.5" customHeight="1" x14ac:dyDescent="0.2"/>
    <row r="1095" ht="13.5" customHeight="1" x14ac:dyDescent="0.2"/>
    <row r="1096" ht="13.5" customHeight="1" x14ac:dyDescent="0.2"/>
    <row r="1097" ht="13.5" customHeight="1" x14ac:dyDescent="0.2"/>
    <row r="1098" ht="13.5" customHeight="1" x14ac:dyDescent="0.2"/>
    <row r="1099" ht="13.5" customHeight="1" x14ac:dyDescent="0.2"/>
    <row r="1100" ht="13.5" customHeight="1" x14ac:dyDescent="0.2"/>
    <row r="1101" ht="13.5" customHeight="1" x14ac:dyDescent="0.2"/>
    <row r="1102" ht="13.5" customHeight="1" x14ac:dyDescent="0.2"/>
    <row r="1103" ht="13.5" customHeight="1" x14ac:dyDescent="0.2"/>
    <row r="1104" ht="13.5" customHeight="1" x14ac:dyDescent="0.2"/>
    <row r="1105" ht="13.5" customHeight="1" x14ac:dyDescent="0.2"/>
    <row r="1106" ht="13.5" customHeight="1" x14ac:dyDescent="0.2"/>
    <row r="1107" ht="13.5" customHeight="1" x14ac:dyDescent="0.2"/>
    <row r="1108" ht="13.5" customHeight="1" x14ac:dyDescent="0.2"/>
    <row r="1109" ht="13.5" customHeight="1" x14ac:dyDescent="0.2"/>
    <row r="1110" ht="13.5" customHeight="1" x14ac:dyDescent="0.2"/>
    <row r="1111" ht="13.5" customHeight="1" x14ac:dyDescent="0.2"/>
    <row r="1112" ht="13.5" customHeight="1" x14ac:dyDescent="0.2"/>
    <row r="1113" ht="13.5" customHeight="1" x14ac:dyDescent="0.2"/>
    <row r="1114" ht="13.5" customHeight="1" x14ac:dyDescent="0.2"/>
    <row r="1115" ht="13.5" customHeight="1" x14ac:dyDescent="0.2"/>
    <row r="1116" ht="13.5" customHeight="1" x14ac:dyDescent="0.2"/>
    <row r="1117" ht="13.5" customHeight="1" x14ac:dyDescent="0.2"/>
    <row r="1118" ht="13.5" customHeight="1" x14ac:dyDescent="0.2"/>
    <row r="1119" ht="13.5" customHeight="1" x14ac:dyDescent="0.2"/>
    <row r="1120" ht="13.5" customHeight="1" x14ac:dyDescent="0.2"/>
    <row r="1121" ht="13.5" customHeight="1" x14ac:dyDescent="0.2"/>
    <row r="1122" ht="13.5" customHeight="1" x14ac:dyDescent="0.2"/>
    <row r="1123" ht="13.5" customHeight="1" x14ac:dyDescent="0.2"/>
    <row r="1124" ht="13.5" customHeight="1" x14ac:dyDescent="0.2"/>
    <row r="1125" ht="13.5" customHeight="1" x14ac:dyDescent="0.2"/>
    <row r="1126" ht="13.5" customHeight="1" x14ac:dyDescent="0.2"/>
    <row r="1127" ht="13.5" customHeight="1" x14ac:dyDescent="0.2"/>
    <row r="1128" ht="13.5" customHeight="1" x14ac:dyDescent="0.2"/>
    <row r="1129" ht="13.5" customHeight="1" x14ac:dyDescent="0.2"/>
    <row r="1130" ht="13.5" customHeight="1" x14ac:dyDescent="0.2"/>
    <row r="1131" ht="13.5" customHeight="1" x14ac:dyDescent="0.2"/>
    <row r="1132" ht="13.5" customHeight="1" x14ac:dyDescent="0.2"/>
    <row r="1133" ht="13.5" customHeight="1" x14ac:dyDescent="0.2"/>
    <row r="1134" ht="13.5" customHeight="1" x14ac:dyDescent="0.2"/>
    <row r="1135" ht="13.5" customHeight="1" x14ac:dyDescent="0.2"/>
    <row r="1136" ht="13.5" customHeight="1" x14ac:dyDescent="0.2"/>
    <row r="1137" ht="13.5" customHeight="1" x14ac:dyDescent="0.2"/>
    <row r="1138" ht="13.5" customHeight="1" x14ac:dyDescent="0.2"/>
    <row r="1139" ht="13.5" customHeight="1" x14ac:dyDescent="0.2"/>
    <row r="1140" ht="13.5" customHeight="1" x14ac:dyDescent="0.2"/>
    <row r="1141" ht="13.5" customHeight="1" x14ac:dyDescent="0.2"/>
    <row r="1142" ht="13.5" customHeight="1" x14ac:dyDescent="0.2"/>
    <row r="1143" ht="13.5" customHeight="1" x14ac:dyDescent="0.2"/>
    <row r="1144" ht="13.5" customHeight="1" x14ac:dyDescent="0.2"/>
    <row r="1145" ht="13.5" customHeight="1" x14ac:dyDescent="0.2"/>
    <row r="1146" ht="13.5" customHeight="1" x14ac:dyDescent="0.2"/>
    <row r="1147" ht="13.5" customHeight="1" x14ac:dyDescent="0.2"/>
    <row r="1148" ht="13.5" customHeight="1" x14ac:dyDescent="0.2"/>
    <row r="1149" ht="13.5" customHeight="1" x14ac:dyDescent="0.2"/>
    <row r="1150" ht="13.5" customHeight="1" x14ac:dyDescent="0.2"/>
    <row r="1151" ht="13.5" customHeight="1" x14ac:dyDescent="0.2"/>
    <row r="1152" ht="13.5" customHeight="1" x14ac:dyDescent="0.2"/>
    <row r="1153" ht="13.5" customHeight="1" x14ac:dyDescent="0.2"/>
    <row r="1154" ht="13.5" customHeight="1" x14ac:dyDescent="0.2"/>
    <row r="1155" ht="13.5" customHeight="1" x14ac:dyDescent="0.2"/>
    <row r="1156" ht="13.5" customHeight="1" x14ac:dyDescent="0.2"/>
    <row r="1157" ht="13.5" customHeight="1" x14ac:dyDescent="0.2"/>
    <row r="1158" ht="13.5" customHeight="1" x14ac:dyDescent="0.2"/>
    <row r="1159" ht="13.5" customHeight="1" x14ac:dyDescent="0.2"/>
    <row r="1160" ht="13.5" customHeight="1" x14ac:dyDescent="0.2"/>
    <row r="1161" ht="13.5" customHeight="1" x14ac:dyDescent="0.2"/>
    <row r="1162" ht="13.5" customHeight="1" x14ac:dyDescent="0.2"/>
    <row r="1163" ht="13.5" customHeight="1" x14ac:dyDescent="0.2"/>
    <row r="1164" ht="13.5" customHeight="1" x14ac:dyDescent="0.2"/>
    <row r="1165" ht="13.5" customHeight="1" x14ac:dyDescent="0.2"/>
    <row r="1166" ht="13.5" customHeight="1" x14ac:dyDescent="0.2"/>
    <row r="1167" ht="13.5" customHeight="1" x14ac:dyDescent="0.2"/>
    <row r="1168" ht="13.5" customHeight="1" x14ac:dyDescent="0.2"/>
    <row r="1169" ht="13.5" customHeight="1" x14ac:dyDescent="0.2"/>
    <row r="1170" ht="13.5" customHeight="1" x14ac:dyDescent="0.2"/>
    <row r="1171" ht="13.5" customHeight="1" x14ac:dyDescent="0.2"/>
    <row r="1172" ht="13.5" customHeight="1" x14ac:dyDescent="0.2"/>
    <row r="1173" ht="13.5" customHeight="1" x14ac:dyDescent="0.2"/>
    <row r="1174" ht="13.5" customHeight="1" x14ac:dyDescent="0.2"/>
    <row r="1175" ht="13.5" customHeight="1" x14ac:dyDescent="0.2"/>
    <row r="1176" ht="13.5" customHeight="1" x14ac:dyDescent="0.2"/>
    <row r="1177" ht="13.5" customHeight="1" x14ac:dyDescent="0.2"/>
    <row r="1178" ht="13.5" customHeight="1" x14ac:dyDescent="0.2"/>
    <row r="65096" ht="12.75" customHeight="1" x14ac:dyDescent="0.2"/>
    <row r="65097" ht="12.75" customHeight="1" x14ac:dyDescent="0.2"/>
    <row r="65098" ht="12.75" customHeight="1" x14ac:dyDescent="0.2"/>
    <row r="65099" ht="12.75" customHeight="1" x14ac:dyDescent="0.2"/>
    <row r="65100" ht="12.75" customHeight="1" x14ac:dyDescent="0.2"/>
    <row r="65101" ht="12.75" customHeight="1" x14ac:dyDescent="0.2"/>
    <row r="65102" ht="12.75" customHeight="1" x14ac:dyDescent="0.2"/>
    <row r="65103" ht="12.75" customHeight="1" x14ac:dyDescent="0.2"/>
    <row r="65104" ht="12.75" customHeight="1" x14ac:dyDescent="0.2"/>
    <row r="65105" ht="12.75" customHeight="1" x14ac:dyDescent="0.2"/>
    <row r="65106" ht="12.75" customHeight="1" x14ac:dyDescent="0.2"/>
    <row r="65107" ht="12.75" customHeight="1" x14ac:dyDescent="0.2"/>
    <row r="65108" ht="12.75" customHeight="1" x14ac:dyDescent="0.2"/>
    <row r="65109" ht="12.75" customHeight="1" x14ac:dyDescent="0.2"/>
    <row r="65110" ht="12.75" customHeight="1" x14ac:dyDescent="0.2"/>
    <row r="65111" ht="12.75" customHeight="1" x14ac:dyDescent="0.2"/>
    <row r="65112" ht="12.75" customHeight="1" x14ac:dyDescent="0.2"/>
    <row r="65113" ht="12.75" customHeight="1" x14ac:dyDescent="0.2"/>
    <row r="65114" ht="12.75" customHeight="1" x14ac:dyDescent="0.2"/>
    <row r="65115" ht="12.75" customHeight="1" x14ac:dyDescent="0.2"/>
    <row r="65116" ht="12.75" customHeight="1" x14ac:dyDescent="0.2"/>
    <row r="65117" ht="12.75" customHeight="1" x14ac:dyDescent="0.2"/>
    <row r="65118" ht="12.75" customHeight="1" x14ac:dyDescent="0.2"/>
    <row r="65119" ht="12.75" customHeight="1" x14ac:dyDescent="0.2"/>
    <row r="65120" ht="12.75" customHeight="1" x14ac:dyDescent="0.2"/>
    <row r="65121" ht="12.75" customHeight="1" x14ac:dyDescent="0.2"/>
    <row r="65122" ht="12.75" customHeight="1" x14ac:dyDescent="0.2"/>
    <row r="65123" ht="12.75" customHeight="1" x14ac:dyDescent="0.2"/>
    <row r="65124" ht="12.75" customHeight="1" x14ac:dyDescent="0.2"/>
    <row r="65125" ht="12.75" customHeight="1" x14ac:dyDescent="0.2"/>
    <row r="65126" ht="12.75" customHeight="1" x14ac:dyDescent="0.2"/>
    <row r="65127" ht="12.75" customHeight="1" x14ac:dyDescent="0.2"/>
    <row r="65128" ht="12.75" customHeight="1" x14ac:dyDescent="0.2"/>
    <row r="65129" ht="12.75" customHeight="1" x14ac:dyDescent="0.2"/>
    <row r="65130" ht="12.75" customHeight="1" x14ac:dyDescent="0.2"/>
    <row r="65131" ht="12.75" customHeight="1" x14ac:dyDescent="0.2"/>
    <row r="65132" ht="12.75" customHeight="1" x14ac:dyDescent="0.2"/>
    <row r="65133" ht="12.75" customHeight="1" x14ac:dyDescent="0.2"/>
    <row r="65134" ht="12.75" customHeight="1" x14ac:dyDescent="0.2"/>
    <row r="65135" ht="12.75" customHeight="1" x14ac:dyDescent="0.2"/>
    <row r="65136" ht="12.75" customHeight="1" x14ac:dyDescent="0.2"/>
    <row r="65137" ht="12.75" customHeight="1" x14ac:dyDescent="0.2"/>
    <row r="65138" ht="12.75" customHeight="1" x14ac:dyDescent="0.2"/>
    <row r="65139" ht="12.75" customHeight="1" x14ac:dyDescent="0.2"/>
    <row r="65140" ht="12.75" customHeight="1" x14ac:dyDescent="0.2"/>
    <row r="65141" ht="12.75" customHeight="1" x14ac:dyDescent="0.2"/>
    <row r="65142" ht="12.75" customHeight="1" x14ac:dyDescent="0.2"/>
    <row r="65143" ht="12.75" customHeight="1" x14ac:dyDescent="0.2"/>
    <row r="65144" ht="12.75" customHeight="1" x14ac:dyDescent="0.2"/>
    <row r="65145" ht="12.75" customHeight="1" x14ac:dyDescent="0.2"/>
    <row r="65146" ht="12.75" customHeight="1" x14ac:dyDescent="0.2"/>
    <row r="65147" ht="12.75" customHeight="1" x14ac:dyDescent="0.2"/>
    <row r="65148" ht="12.75" customHeight="1" x14ac:dyDescent="0.2"/>
    <row r="65149" ht="12.75" customHeight="1" x14ac:dyDescent="0.2"/>
    <row r="65150" ht="12.75" customHeight="1" x14ac:dyDescent="0.2"/>
    <row r="65151" ht="12.75" customHeight="1" x14ac:dyDescent="0.2"/>
    <row r="65152" ht="12.75" customHeight="1" x14ac:dyDescent="0.2"/>
    <row r="65153" ht="12.75" customHeight="1" x14ac:dyDescent="0.2"/>
    <row r="65154" ht="12.75" customHeight="1" x14ac:dyDescent="0.2"/>
    <row r="65155" ht="12.75" customHeight="1" x14ac:dyDescent="0.2"/>
    <row r="65156" ht="12.75" customHeight="1" x14ac:dyDescent="0.2"/>
    <row r="65157" ht="12.75" customHeight="1" x14ac:dyDescent="0.2"/>
    <row r="65158" ht="12.75" customHeight="1" x14ac:dyDescent="0.2"/>
    <row r="65159" ht="12.75" customHeight="1" x14ac:dyDescent="0.2"/>
    <row r="65160" ht="12.75" customHeight="1" x14ac:dyDescent="0.2"/>
    <row r="65161" ht="12.75" customHeight="1" x14ac:dyDescent="0.2"/>
    <row r="65162" ht="12.75" customHeight="1" x14ac:dyDescent="0.2"/>
    <row r="65163" ht="12.75" customHeight="1" x14ac:dyDescent="0.2"/>
    <row r="65164" ht="12.75" customHeight="1" x14ac:dyDescent="0.2"/>
    <row r="65165" ht="12.75" customHeight="1" x14ac:dyDescent="0.2"/>
    <row r="65166" ht="12.75" customHeight="1" x14ac:dyDescent="0.2"/>
    <row r="65167" ht="12.75" customHeight="1" x14ac:dyDescent="0.2"/>
    <row r="65168" ht="12.75" customHeight="1" x14ac:dyDescent="0.2"/>
    <row r="65169" ht="12.75" customHeight="1" x14ac:dyDescent="0.2"/>
    <row r="65170" ht="12.75" customHeight="1" x14ac:dyDescent="0.2"/>
    <row r="65171" ht="12.75" customHeight="1" x14ac:dyDescent="0.2"/>
    <row r="65172" ht="12.75" customHeight="1" x14ac:dyDescent="0.2"/>
    <row r="65173" ht="12.75" customHeight="1" x14ac:dyDescent="0.2"/>
    <row r="65174" ht="12.75" customHeight="1" x14ac:dyDescent="0.2"/>
    <row r="65175" ht="12.75" customHeight="1" x14ac:dyDescent="0.2"/>
    <row r="65176" ht="12.75" customHeight="1" x14ac:dyDescent="0.2"/>
    <row r="65177" ht="12.75" customHeight="1" x14ac:dyDescent="0.2"/>
  </sheetData>
  <sheetProtection algorithmName="SHA-512" hashValue="pRdvUhv97OAVKaeHkwn68pem7xn9rv8qyDX+rJ0NXoLQxik50gV/fzrHydfzuwL+fquWxdYnLqS6iU8zceXhhQ==" saltValue="XqaKHF6HcnYS9A14SabVig==" spinCount="100000" sheet="1" objects="1" scenarios="1"/>
  <mergeCells count="136">
    <mergeCell ref="G80:K80"/>
    <mergeCell ref="B69:E69"/>
    <mergeCell ref="G69:J69"/>
    <mergeCell ref="B70:K70"/>
    <mergeCell ref="B72:D72"/>
    <mergeCell ref="F72:K72"/>
    <mergeCell ref="B73:D73"/>
    <mergeCell ref="F73:K73"/>
    <mergeCell ref="B60:J60"/>
    <mergeCell ref="B61:J61"/>
    <mergeCell ref="B62:J62"/>
    <mergeCell ref="B63:J63"/>
    <mergeCell ref="B64:J64"/>
    <mergeCell ref="B65:J65"/>
    <mergeCell ref="B66:K66"/>
    <mergeCell ref="B67:K67"/>
    <mergeCell ref="B68:K68"/>
    <mergeCell ref="C54:E54"/>
    <mergeCell ref="G54:H54"/>
    <mergeCell ref="C55:E55"/>
    <mergeCell ref="G55:H55"/>
    <mergeCell ref="C56:E56"/>
    <mergeCell ref="G56:H56"/>
    <mergeCell ref="B57:H57"/>
    <mergeCell ref="B58:K58"/>
    <mergeCell ref="B59:J59"/>
    <mergeCell ref="B46:K46"/>
    <mergeCell ref="D47:H47"/>
    <mergeCell ref="B48:H48"/>
    <mergeCell ref="B49:K49"/>
    <mergeCell ref="B50:K50"/>
    <mergeCell ref="B51:K51"/>
    <mergeCell ref="B52:B53"/>
    <mergeCell ref="C52:E53"/>
    <mergeCell ref="F52:F53"/>
    <mergeCell ref="G52:H53"/>
    <mergeCell ref="K52:K53"/>
    <mergeCell ref="B40:C40"/>
    <mergeCell ref="D40:E40"/>
    <mergeCell ref="F40:H40"/>
    <mergeCell ref="B41:H41"/>
    <mergeCell ref="J42:K42"/>
    <mergeCell ref="D43:H43"/>
    <mergeCell ref="J43:K43"/>
    <mergeCell ref="D44:H44"/>
    <mergeCell ref="D45:H45"/>
    <mergeCell ref="B37:C37"/>
    <mergeCell ref="D37:E37"/>
    <mergeCell ref="F37:H37"/>
    <mergeCell ref="B38:C38"/>
    <mergeCell ref="D38:E38"/>
    <mergeCell ref="F38:H38"/>
    <mergeCell ref="B39:C39"/>
    <mergeCell ref="D39:E39"/>
    <mergeCell ref="F39:H39"/>
    <mergeCell ref="B33:K33"/>
    <mergeCell ref="B34:C34"/>
    <mergeCell ref="D34:E34"/>
    <mergeCell ref="F34:H34"/>
    <mergeCell ref="B35:C35"/>
    <mergeCell ref="D35:E35"/>
    <mergeCell ref="F35:H35"/>
    <mergeCell ref="I34:K34"/>
    <mergeCell ref="B36:C36"/>
    <mergeCell ref="D36:E36"/>
    <mergeCell ref="F36:H36"/>
    <mergeCell ref="B29:C29"/>
    <mergeCell ref="D29:E29"/>
    <mergeCell ref="F29:H29"/>
    <mergeCell ref="B30:C30"/>
    <mergeCell ref="D30:E30"/>
    <mergeCell ref="F30:H30"/>
    <mergeCell ref="B31:H31"/>
    <mergeCell ref="D32:E32"/>
    <mergeCell ref="J32:K32"/>
    <mergeCell ref="B26:C26"/>
    <mergeCell ref="D26:E26"/>
    <mergeCell ref="F26:H26"/>
    <mergeCell ref="B27:C27"/>
    <mergeCell ref="D27:E27"/>
    <mergeCell ref="F27:H27"/>
    <mergeCell ref="B28:C28"/>
    <mergeCell ref="D28:E28"/>
    <mergeCell ref="F28:H28"/>
    <mergeCell ref="B19:G19"/>
    <mergeCell ref="B20:G20"/>
    <mergeCell ref="B21:G21"/>
    <mergeCell ref="B22:G22"/>
    <mergeCell ref="B23:H23"/>
    <mergeCell ref="B24:C24"/>
    <mergeCell ref="D24:E24"/>
    <mergeCell ref="J24:K24"/>
    <mergeCell ref="B25:C25"/>
    <mergeCell ref="D25:E25"/>
    <mergeCell ref="F25:H25"/>
    <mergeCell ref="J25:K25"/>
    <mergeCell ref="B13:C13"/>
    <mergeCell ref="D13:E13"/>
    <mergeCell ref="B14:C14"/>
    <mergeCell ref="D14:E14"/>
    <mergeCell ref="B15:H15"/>
    <mergeCell ref="J15:K15"/>
    <mergeCell ref="C16:D16"/>
    <mergeCell ref="B17:G17"/>
    <mergeCell ref="B18:G18"/>
    <mergeCell ref="J8:K8"/>
    <mergeCell ref="B9:C9"/>
    <mergeCell ref="D9:E9"/>
    <mergeCell ref="J9:K9"/>
    <mergeCell ref="B10:C10"/>
    <mergeCell ref="D10:E10"/>
    <mergeCell ref="B11:C11"/>
    <mergeCell ref="D11:E11"/>
    <mergeCell ref="B12:C12"/>
    <mergeCell ref="D12:E12"/>
    <mergeCell ref="B5:C5"/>
    <mergeCell ref="D5:E5"/>
    <mergeCell ref="F5:G5"/>
    <mergeCell ref="H5:K5"/>
    <mergeCell ref="B6:C6"/>
    <mergeCell ref="D6:E6"/>
    <mergeCell ref="F3:G3"/>
    <mergeCell ref="H6:K6"/>
    <mergeCell ref="B7:K7"/>
    <mergeCell ref="F4:G4"/>
    <mergeCell ref="F6:G6"/>
    <mergeCell ref="B1:C1"/>
    <mergeCell ref="D1:K1"/>
    <mergeCell ref="B2:C2"/>
    <mergeCell ref="D2:K2"/>
    <mergeCell ref="B3:C3"/>
    <mergeCell ref="D3:E3"/>
    <mergeCell ref="H3:K3"/>
    <mergeCell ref="B4:C4"/>
    <mergeCell ref="D4:E4"/>
    <mergeCell ref="H4:K4"/>
  </mergeCells>
  <dataValidations count="8">
    <dataValidation type="list" operator="equal" allowBlank="1" showErrorMessage="1" errorTitle="ERROR" error="Ya está marcado con una X en el &quot; NO &quot;, desmarquela si quiere utilizar el &quot; SI &quot;." sqref="G54:I56" xr:uid="{11E3335A-C1AD-4267-B4C2-78B0F65ECB25}">
      <formula1>"SINO"</formula1>
      <formula2>0</formula2>
    </dataValidation>
    <dataValidation operator="equal" allowBlank="1" showErrorMessage="1" sqref="G3:G4" xr:uid="{5BFD199E-BB8C-4A89-A0F2-D40442E61F23}">
      <formula1>0</formula1>
      <formula2>0</formula2>
    </dataValidation>
    <dataValidation type="whole" allowBlank="1" showErrorMessage="1" sqref="F54:F56" xr:uid="{04D50166-0F5D-4623-8BFB-84B3BF43BFB4}">
      <formula1>1</formula1>
      <formula2>1000000000000</formula2>
    </dataValidation>
    <dataValidation type="textLength" allowBlank="1" showErrorMessage="1" sqref="B54:B56" xr:uid="{BAA4A183-5497-4DC8-B44F-294EB8A83165}">
      <formula1>1</formula1>
      <formula2>50</formula2>
    </dataValidation>
    <dataValidation type="list" operator="equal" allowBlank="1" showDropDown="1" showErrorMessage="1" sqref="B1 E1:E2 F3:F4" xr:uid="{74A6F11A-2218-4742-A908-9408E47D9D9A}">
      <formula1>"Servidor Legislativo 1Servidor Legislativo 2Servidor Legislativo 3Servidor Legislativo 4Servidor Legislativo 5Servidor Legislativo 6Servidor Legislativo 7Servidor Legislativo 8Servidor Legislativo 9Servidor Legislativo 10Servidor Legislativo 11"</formula1>
      <formula2>0</formula2>
    </dataValidation>
    <dataValidation type="decimal" operator="greaterThan" allowBlank="1" showInputMessage="1" showErrorMessage="1" errorTitle="Error" error="Por favor Ingrese solo números o decimales con la ( , ) y NO letras, palabras, o singos ." promptTitle="INGRESO" prompt="Por favor ingrese solo números enteros o decimales con (,)" sqref="F10" xr:uid="{05E0D97A-A063-478A-BABE-D8557C2CA4A3}">
      <formula1>P10</formula1>
      <formula2>0</formula2>
    </dataValidation>
    <dataValidation type="decimal" operator="greaterThanOrEqual" allowBlank="1" showInputMessage="1" showErrorMessage="1" errorTitle="Error" error="Por favor Ingrese solo números o decimales con la ( , ) y NO letras, palabras, o singos ." promptTitle="INGRESO" prompt="Por favor ingrese solo números enteros o decimales con (,)" sqref="G10:G14" xr:uid="{422EF21F-F1B6-4EBD-A900-C15331D36AE5}">
      <formula1>P10</formula1>
      <formula2>0</formula2>
    </dataValidation>
    <dataValidation type="decimal" operator="greaterThan" allowBlank="1" showInputMessage="1" showErrorMessage="1" errorTitle="Error" error="Por favor Ingrese solo números o decimales con la ( , ) y NO letras, palabras, o singos ." promptTitle="INGRESO" prompt="Por favor ingrese solo números enteros o decimales con (,)" sqref="F11:F14" xr:uid="{6E2C7DD7-927B-4A79-AD3C-B939BCB85ACD}">
      <formula1>P14</formula1>
      <formula2>0</formula2>
    </dataValidation>
  </dataValidations>
  <printOptions horizontalCentered="1"/>
  <pageMargins left="0.31496062992125984" right="0.23622047244094491" top="0.86614173228346458" bottom="0.27559055118110237" header="0.51181102362204722" footer="0.51181102362204722"/>
  <pageSetup paperSize="9" scale="93" orientation="portrait" horizontalDpi="300" verticalDpi="300" r:id="rId1"/>
  <rowBreaks count="2" manualBreakCount="2">
    <brk id="23" max="16383" man="1"/>
    <brk id="42" max="16383" man="1"/>
  </rowBreaks>
  <drawing r:id="rId2"/>
  <extLst>
    <ext xmlns:x14="http://schemas.microsoft.com/office/spreadsheetml/2009/9/main" uri="{CCE6A557-97BC-4b89-ADB6-D9C93CAAB3DF}">
      <x14:dataValidations xmlns:xm="http://schemas.microsoft.com/office/excel/2006/main" count="5">
        <x14:dataValidation type="list" operator="equal" allowBlank="1" showErrorMessage="1" xr:uid="{040C9492-D9A1-4966-BF0F-AD9842CD1E1A}">
          <x14:formula1>
            <xm:f>Hoja6!$A$17:$A$21</xm:f>
          </x14:formula1>
          <x14:formula2>
            <xm:f>0</xm:f>
          </x14:formula2>
          <xm:sqref>H17:H22 K17:K22</xm:sqref>
        </x14:dataValidation>
        <x14:dataValidation type="list" operator="equal" allowBlank="1" showErrorMessage="1" xr:uid="{DB880131-F91E-4E95-BF58-09C85326E9AB}">
          <x14:formula1>
            <xm:f>Hoja6!$A$5:$A$9</xm:f>
          </x14:formula1>
          <x14:formula2>
            <xm:f>0</xm:f>
          </x14:formula2>
          <xm:sqref>K26:K30</xm:sqref>
        </x14:dataValidation>
        <x14:dataValidation type="list" operator="equal" allowBlank="1" showErrorMessage="1" xr:uid="{FBBBC788-F802-462B-9D09-E060E06FDD8C}">
          <x14:formula1>
            <xm:f>Hoja6!$A$1:$A$3</xm:f>
          </x14:formula1>
          <x14:formula2>
            <xm:f>0</xm:f>
          </x14:formula2>
          <xm:sqref>D35:E40 D26:E30 C47 C44:C45</xm:sqref>
        </x14:dataValidation>
        <x14:dataValidation type="list" operator="equal" allowBlank="1" showErrorMessage="1" xr:uid="{DB72A23F-A899-4910-B815-1D93693B4766}">
          <x14:formula1>
            <xm:f>Hoja6!$A$11:$A$15</xm:f>
          </x14:formula1>
          <x14:formula2>
            <xm:f>0</xm:f>
          </x14:formula2>
          <xm:sqref>K35:K40 K44:K45 K47</xm:sqref>
        </x14:dataValidation>
        <x14:dataValidation type="list" operator="equal" allowBlank="1" showErrorMessage="1" xr:uid="{808010B8-E3EE-45C2-BB39-454B63767A95}">
          <x14:formula1>
            <xm:f>Tecnicas!$A$5:$A$38</xm:f>
          </x14:formula1>
          <x14:formula2>
            <xm:f>0</xm:f>
          </x14:formula2>
          <xm:sqref>B26:C30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5536"/>
  <sheetViews>
    <sheetView view="pageBreakPreview" topLeftCell="A52" zoomScale="85" zoomScaleNormal="100" zoomScaleSheetLayoutView="85" workbookViewId="0">
      <selection activeCell="B57" sqref="B57"/>
    </sheetView>
  </sheetViews>
  <sheetFormatPr baseColWidth="10" defaultColWidth="11.42578125" defaultRowHeight="12.75" x14ac:dyDescent="0.2"/>
  <cols>
    <col min="1" max="1" width="17.85546875" style="117" customWidth="1"/>
    <col min="2" max="2" width="31.5703125" style="117" customWidth="1"/>
    <col min="3" max="3" width="30.5703125" style="117" customWidth="1"/>
    <col min="4" max="4" width="28.85546875" style="117" customWidth="1"/>
  </cols>
  <sheetData>
    <row r="1" spans="1:4" ht="26.25" customHeight="1" x14ac:dyDescent="0.2">
      <c r="A1" s="228" t="s">
        <v>68</v>
      </c>
      <c r="B1" s="228"/>
      <c r="C1" s="228"/>
      <c r="D1" s="228"/>
    </row>
    <row r="2" spans="1:4" ht="12.95" customHeight="1" x14ac:dyDescent="0.2">
      <c r="A2" s="118"/>
      <c r="B2" s="118"/>
      <c r="C2" s="118"/>
      <c r="D2" s="118"/>
    </row>
    <row r="3" spans="1:4" ht="11.25" customHeight="1" x14ac:dyDescent="0.2">
      <c r="A3" s="229" t="s">
        <v>69</v>
      </c>
      <c r="B3" s="230" t="s">
        <v>70</v>
      </c>
      <c r="C3" s="230"/>
      <c r="D3" s="230"/>
    </row>
    <row r="4" spans="1:4" ht="12.95" customHeight="1" x14ac:dyDescent="0.2">
      <c r="A4" s="229"/>
      <c r="B4" s="119" t="s">
        <v>71</v>
      </c>
      <c r="C4" s="119" t="s">
        <v>72</v>
      </c>
      <c r="D4" s="120" t="s">
        <v>73</v>
      </c>
    </row>
    <row r="5" spans="1:4" ht="30.6" customHeight="1" x14ac:dyDescent="0.2">
      <c r="A5" s="121" t="s">
        <v>74</v>
      </c>
      <c r="B5" s="121" t="s">
        <v>75</v>
      </c>
      <c r="C5" s="121" t="s">
        <v>76</v>
      </c>
      <c r="D5" s="122" t="s">
        <v>77</v>
      </c>
    </row>
    <row r="6" spans="1:4" ht="44.1" customHeight="1" x14ac:dyDescent="0.2">
      <c r="A6" s="123" t="s">
        <v>78</v>
      </c>
      <c r="B6" s="124" t="s">
        <v>79</v>
      </c>
      <c r="C6" s="124" t="s">
        <v>80</v>
      </c>
      <c r="D6" s="125" t="s">
        <v>81</v>
      </c>
    </row>
    <row r="7" spans="1:4" ht="39.6" customHeight="1" x14ac:dyDescent="0.2">
      <c r="A7" s="124" t="s">
        <v>82</v>
      </c>
      <c r="B7" s="124" t="s">
        <v>83</v>
      </c>
      <c r="C7" s="124" t="s">
        <v>84</v>
      </c>
      <c r="D7" s="125" t="s">
        <v>85</v>
      </c>
    </row>
    <row r="8" spans="1:4" ht="54.95" customHeight="1" x14ac:dyDescent="0.2">
      <c r="A8" s="124" t="s">
        <v>86</v>
      </c>
      <c r="B8" s="124" t="s">
        <v>87</v>
      </c>
      <c r="C8" s="124" t="s">
        <v>88</v>
      </c>
      <c r="D8" s="125" t="s">
        <v>89</v>
      </c>
    </row>
    <row r="9" spans="1:4" ht="54.95" customHeight="1" x14ac:dyDescent="0.2">
      <c r="A9" s="124" t="s">
        <v>90</v>
      </c>
      <c r="B9" s="124" t="s">
        <v>91</v>
      </c>
      <c r="C9" s="124" t="s">
        <v>92</v>
      </c>
      <c r="D9" s="125" t="s">
        <v>93</v>
      </c>
    </row>
    <row r="10" spans="1:4" ht="33" customHeight="1" x14ac:dyDescent="0.2">
      <c r="A10" s="124" t="s">
        <v>94</v>
      </c>
      <c r="B10" s="124" t="s">
        <v>95</v>
      </c>
      <c r="C10" s="124" t="s">
        <v>96</v>
      </c>
      <c r="D10" s="125" t="s">
        <v>97</v>
      </c>
    </row>
    <row r="11" spans="1:4" ht="44.1" customHeight="1" x14ac:dyDescent="0.2">
      <c r="A11" s="124" t="s">
        <v>98</v>
      </c>
      <c r="B11" s="124" t="s">
        <v>99</v>
      </c>
      <c r="C11" s="124" t="s">
        <v>100</v>
      </c>
      <c r="D11" s="125" t="s">
        <v>101</v>
      </c>
    </row>
    <row r="12" spans="1:4" ht="33" customHeight="1" x14ac:dyDescent="0.2">
      <c r="A12" s="124" t="s">
        <v>102</v>
      </c>
      <c r="B12" s="124" t="s">
        <v>103</v>
      </c>
      <c r="C12" s="124" t="s">
        <v>104</v>
      </c>
      <c r="D12" s="125" t="s">
        <v>105</v>
      </c>
    </row>
    <row r="13" spans="1:4" ht="54.95" customHeight="1" x14ac:dyDescent="0.2">
      <c r="A13" s="124" t="s">
        <v>106</v>
      </c>
      <c r="B13" s="124" t="s">
        <v>107</v>
      </c>
      <c r="C13" s="124" t="s">
        <v>108</v>
      </c>
      <c r="D13" s="125" t="s">
        <v>109</v>
      </c>
    </row>
    <row r="14" spans="1:4" ht="33" customHeight="1" x14ac:dyDescent="0.2">
      <c r="A14" s="124" t="s">
        <v>110</v>
      </c>
      <c r="B14" s="124" t="s">
        <v>111</v>
      </c>
      <c r="C14" s="124" t="s">
        <v>112</v>
      </c>
      <c r="D14" s="125" t="s">
        <v>113</v>
      </c>
    </row>
    <row r="15" spans="1:4" ht="33" customHeight="1" x14ac:dyDescent="0.2">
      <c r="A15" s="124" t="s">
        <v>114</v>
      </c>
      <c r="B15" s="124" t="s">
        <v>115</v>
      </c>
      <c r="C15" s="124" t="s">
        <v>116</v>
      </c>
      <c r="D15" s="125" t="s">
        <v>117</v>
      </c>
    </row>
    <row r="16" spans="1:4" ht="33" customHeight="1" x14ac:dyDescent="0.2">
      <c r="A16" s="124" t="s">
        <v>118</v>
      </c>
      <c r="B16" s="124" t="s">
        <v>119</v>
      </c>
      <c r="C16" s="124" t="s">
        <v>120</v>
      </c>
      <c r="D16" s="125" t="s">
        <v>121</v>
      </c>
    </row>
    <row r="17" spans="1:4" ht="33" customHeight="1" x14ac:dyDescent="0.2">
      <c r="A17" s="124" t="s">
        <v>122</v>
      </c>
      <c r="B17" s="124" t="s">
        <v>123</v>
      </c>
      <c r="C17" s="124" t="s">
        <v>124</v>
      </c>
      <c r="D17" s="125" t="s">
        <v>125</v>
      </c>
    </row>
    <row r="18" spans="1:4" ht="33" customHeight="1" x14ac:dyDescent="0.2">
      <c r="A18" s="124" t="s">
        <v>126</v>
      </c>
      <c r="B18" s="124" t="s">
        <v>127</v>
      </c>
      <c r="C18" s="124" t="s">
        <v>128</v>
      </c>
      <c r="D18" s="125" t="s">
        <v>129</v>
      </c>
    </row>
    <row r="19" spans="1:4" ht="21.95" customHeight="1" x14ac:dyDescent="0.2">
      <c r="A19" s="124" t="s">
        <v>130</v>
      </c>
      <c r="B19" s="124" t="s">
        <v>131</v>
      </c>
      <c r="C19" s="124" t="s">
        <v>132</v>
      </c>
      <c r="D19" s="125" t="s">
        <v>133</v>
      </c>
    </row>
    <row r="20" spans="1:4" ht="33" customHeight="1" x14ac:dyDescent="0.2">
      <c r="A20" s="124" t="s">
        <v>134</v>
      </c>
      <c r="B20" s="124" t="s">
        <v>135</v>
      </c>
      <c r="C20" s="124" t="s">
        <v>136</v>
      </c>
      <c r="D20" s="125" t="s">
        <v>137</v>
      </c>
    </row>
    <row r="21" spans="1:4" ht="44.1" customHeight="1" x14ac:dyDescent="0.2">
      <c r="A21" s="124" t="s">
        <v>138</v>
      </c>
      <c r="B21" s="124" t="s">
        <v>139</v>
      </c>
      <c r="C21" s="124" t="s">
        <v>140</v>
      </c>
      <c r="D21" s="125" t="s">
        <v>141</v>
      </c>
    </row>
    <row r="22" spans="1:4" ht="33" customHeight="1" x14ac:dyDescent="0.2">
      <c r="A22" s="124" t="s">
        <v>142</v>
      </c>
      <c r="B22" s="124" t="s">
        <v>143</v>
      </c>
      <c r="C22" s="124" t="s">
        <v>144</v>
      </c>
      <c r="D22" s="125" t="s">
        <v>145</v>
      </c>
    </row>
    <row r="23" spans="1:4" ht="44.1" customHeight="1" x14ac:dyDescent="0.2">
      <c r="A23" s="124" t="s">
        <v>146</v>
      </c>
      <c r="B23" s="124" t="s">
        <v>147</v>
      </c>
      <c r="C23" s="124" t="s">
        <v>148</v>
      </c>
      <c r="D23" s="125" t="s">
        <v>149</v>
      </c>
    </row>
    <row r="24" spans="1:4" ht="54.95" customHeight="1" x14ac:dyDescent="0.2">
      <c r="A24" s="124" t="s">
        <v>150</v>
      </c>
      <c r="B24" s="124" t="s">
        <v>151</v>
      </c>
      <c r="C24" s="124" t="s">
        <v>152</v>
      </c>
      <c r="D24" s="125" t="s">
        <v>153</v>
      </c>
    </row>
    <row r="25" spans="1:4" ht="33" customHeight="1" x14ac:dyDescent="0.2">
      <c r="A25" s="124" t="s">
        <v>154</v>
      </c>
      <c r="B25" s="124" t="s">
        <v>155</v>
      </c>
      <c r="C25" s="124" t="s">
        <v>156</v>
      </c>
      <c r="D25" s="125" t="s">
        <v>157</v>
      </c>
    </row>
    <row r="26" spans="1:4" ht="33" customHeight="1" x14ac:dyDescent="0.2">
      <c r="A26" s="124" t="s">
        <v>158</v>
      </c>
      <c r="B26" s="124" t="s">
        <v>159</v>
      </c>
      <c r="C26" s="124" t="s">
        <v>160</v>
      </c>
      <c r="D26" s="125" t="s">
        <v>161</v>
      </c>
    </row>
    <row r="27" spans="1:4" ht="21.95" customHeight="1" x14ac:dyDescent="0.2">
      <c r="A27" s="124" t="s">
        <v>162</v>
      </c>
      <c r="B27" s="124" t="s">
        <v>163</v>
      </c>
      <c r="C27" s="124" t="s">
        <v>164</v>
      </c>
      <c r="D27" s="125" t="s">
        <v>165</v>
      </c>
    </row>
    <row r="28" spans="1:4" ht="33" customHeight="1" x14ac:dyDescent="0.2">
      <c r="A28" s="124" t="s">
        <v>166</v>
      </c>
      <c r="B28" s="124" t="s">
        <v>167</v>
      </c>
      <c r="C28" s="124" t="s">
        <v>168</v>
      </c>
      <c r="D28" s="125" t="s">
        <v>169</v>
      </c>
    </row>
    <row r="29" spans="1:4" ht="44.1" customHeight="1" x14ac:dyDescent="0.2">
      <c r="A29" s="124" t="s">
        <v>170</v>
      </c>
      <c r="B29" s="124" t="s">
        <v>171</v>
      </c>
      <c r="C29" s="124" t="s">
        <v>172</v>
      </c>
      <c r="D29" s="125" t="s">
        <v>173</v>
      </c>
    </row>
    <row r="30" spans="1:4" ht="54.95" customHeight="1" x14ac:dyDescent="0.2">
      <c r="A30" s="124" t="s">
        <v>174</v>
      </c>
      <c r="B30" s="124" t="s">
        <v>175</v>
      </c>
      <c r="C30" s="124" t="s">
        <v>176</v>
      </c>
      <c r="D30" s="125" t="s">
        <v>177</v>
      </c>
    </row>
    <row r="31" spans="1:4" ht="66" customHeight="1" x14ac:dyDescent="0.2">
      <c r="A31" s="124" t="s">
        <v>178</v>
      </c>
      <c r="B31" s="124" t="s">
        <v>179</v>
      </c>
      <c r="C31" s="124" t="s">
        <v>180</v>
      </c>
      <c r="D31" s="125" t="s">
        <v>181</v>
      </c>
    </row>
    <row r="32" spans="1:4" ht="33" customHeight="1" x14ac:dyDescent="0.2">
      <c r="A32" s="124" t="s">
        <v>182</v>
      </c>
      <c r="B32" s="124" t="s">
        <v>183</v>
      </c>
      <c r="C32" s="124" t="s">
        <v>184</v>
      </c>
      <c r="D32" s="125" t="s">
        <v>185</v>
      </c>
    </row>
    <row r="33" spans="1:4" ht="54.95" customHeight="1" x14ac:dyDescent="0.2">
      <c r="A33" s="124" t="s">
        <v>186</v>
      </c>
      <c r="B33" s="124" t="s">
        <v>187</v>
      </c>
      <c r="C33" s="124" t="s">
        <v>188</v>
      </c>
      <c r="D33" s="125" t="s">
        <v>189</v>
      </c>
    </row>
    <row r="34" spans="1:4" ht="66" customHeight="1" x14ac:dyDescent="0.2">
      <c r="A34" s="124" t="s">
        <v>190</v>
      </c>
      <c r="B34" s="124" t="s">
        <v>191</v>
      </c>
      <c r="C34" s="124" t="s">
        <v>192</v>
      </c>
      <c r="D34" s="125" t="s">
        <v>193</v>
      </c>
    </row>
    <row r="35" spans="1:4" ht="77.099999999999994" customHeight="1" x14ac:dyDescent="0.2">
      <c r="A35" s="124" t="s">
        <v>194</v>
      </c>
      <c r="B35" s="124" t="s">
        <v>195</v>
      </c>
      <c r="C35" s="124" t="s">
        <v>196</v>
      </c>
      <c r="D35" s="125" t="s">
        <v>197</v>
      </c>
    </row>
    <row r="36" spans="1:4" ht="54.95" customHeight="1" x14ac:dyDescent="0.2">
      <c r="A36" s="124" t="s">
        <v>198</v>
      </c>
      <c r="B36" s="124" t="s">
        <v>199</v>
      </c>
      <c r="C36" s="124" t="s">
        <v>200</v>
      </c>
      <c r="D36" s="125" t="s">
        <v>201</v>
      </c>
    </row>
    <row r="37" spans="1:4" ht="21.95" customHeight="1" x14ac:dyDescent="0.2">
      <c r="A37" s="124" t="s">
        <v>202</v>
      </c>
      <c r="B37" s="124" t="s">
        <v>203</v>
      </c>
      <c r="C37" s="124" t="s">
        <v>204</v>
      </c>
      <c r="D37" s="125" t="s">
        <v>205</v>
      </c>
    </row>
    <row r="38" spans="1:4" ht="33" customHeight="1" x14ac:dyDescent="0.2">
      <c r="A38" s="124" t="s">
        <v>206</v>
      </c>
      <c r="B38" s="124" t="s">
        <v>207</v>
      </c>
      <c r="C38" s="124" t="s">
        <v>208</v>
      </c>
      <c r="D38" s="125" t="s">
        <v>209</v>
      </c>
    </row>
    <row r="39" spans="1:4" ht="15" customHeight="1" x14ac:dyDescent="0.2">
      <c r="A39"/>
      <c r="B39"/>
      <c r="C39"/>
      <c r="D39"/>
    </row>
    <row r="40" spans="1:4" ht="15" customHeight="1" x14ac:dyDescent="0.2">
      <c r="A40" s="231" t="s">
        <v>210</v>
      </c>
      <c r="B40" s="231"/>
      <c r="C40" s="231"/>
      <c r="D40" s="231"/>
    </row>
    <row r="41" spans="1:4" ht="15" customHeight="1" x14ac:dyDescent="0.2">
      <c r="A41" s="126"/>
      <c r="B41" s="126"/>
      <c r="C41" s="126"/>
      <c r="D41" s="126"/>
    </row>
    <row r="42" spans="1:4" ht="18" customHeight="1" x14ac:dyDescent="0.2">
      <c r="A42" s="232" t="s">
        <v>69</v>
      </c>
      <c r="B42" s="233" t="s">
        <v>70</v>
      </c>
      <c r="C42" s="233"/>
      <c r="D42" s="233"/>
    </row>
    <row r="43" spans="1:4" ht="18" customHeight="1" x14ac:dyDescent="0.2">
      <c r="A43" s="232"/>
      <c r="B43" s="127" t="s">
        <v>71</v>
      </c>
      <c r="C43" s="127" t="s">
        <v>72</v>
      </c>
      <c r="D43" s="128" t="s">
        <v>73</v>
      </c>
    </row>
    <row r="44" spans="1:4" ht="56.65" customHeight="1" x14ac:dyDescent="0.2">
      <c r="A44" s="129" t="s">
        <v>34</v>
      </c>
      <c r="B44" s="130" t="s">
        <v>211</v>
      </c>
      <c r="C44" s="130" t="s">
        <v>212</v>
      </c>
      <c r="D44" s="131" t="s">
        <v>213</v>
      </c>
    </row>
    <row r="45" spans="1:4" ht="56.65" customHeight="1" x14ac:dyDescent="0.2">
      <c r="A45" s="129" t="s">
        <v>35</v>
      </c>
      <c r="B45" s="130" t="s">
        <v>214</v>
      </c>
      <c r="C45" s="130" t="s">
        <v>215</v>
      </c>
      <c r="D45" s="131" t="s">
        <v>216</v>
      </c>
    </row>
    <row r="46" spans="1:4" ht="56.65" customHeight="1" x14ac:dyDescent="0.2">
      <c r="A46" s="129" t="s">
        <v>36</v>
      </c>
      <c r="B46" s="130" t="s">
        <v>217</v>
      </c>
      <c r="C46" s="130" t="s">
        <v>218</v>
      </c>
      <c r="D46" s="131" t="s">
        <v>219</v>
      </c>
    </row>
    <row r="47" spans="1:4" ht="56.65" customHeight="1" x14ac:dyDescent="0.2">
      <c r="A47" s="129" t="s">
        <v>37</v>
      </c>
      <c r="B47" s="130" t="s">
        <v>220</v>
      </c>
      <c r="C47" s="130" t="s">
        <v>221</v>
      </c>
      <c r="D47" s="131" t="s">
        <v>222</v>
      </c>
    </row>
    <row r="48" spans="1:4" ht="56.65" customHeight="1" x14ac:dyDescent="0.2">
      <c r="A48" s="129" t="s">
        <v>38</v>
      </c>
      <c r="B48" s="130" t="s">
        <v>223</v>
      </c>
      <c r="C48" s="130" t="s">
        <v>224</v>
      </c>
      <c r="D48" s="131" t="s">
        <v>225</v>
      </c>
    </row>
    <row r="49" spans="1:4" ht="56.65" customHeight="1" x14ac:dyDescent="0.2">
      <c r="A49" s="129" t="s">
        <v>39</v>
      </c>
      <c r="B49" s="132" t="s">
        <v>226</v>
      </c>
      <c r="C49" s="132" t="s">
        <v>227</v>
      </c>
      <c r="D49" s="133" t="s">
        <v>228</v>
      </c>
    </row>
    <row r="50" spans="1:4" ht="18" customHeight="1" x14ac:dyDescent="0.2">
      <c r="A50" s="132"/>
      <c r="B50" s="132"/>
      <c r="C50" s="132"/>
      <c r="D50" s="133"/>
    </row>
    <row r="51" spans="1:4" ht="18" customHeight="1" x14ac:dyDescent="0.2">
      <c r="A51" s="231" t="s">
        <v>229</v>
      </c>
      <c r="B51" s="231"/>
      <c r="C51" s="231"/>
      <c r="D51" s="231"/>
    </row>
    <row r="52" spans="1:4" ht="18" customHeight="1" x14ac:dyDescent="0.2">
      <c r="A52" s="126"/>
      <c r="B52" s="126"/>
      <c r="C52" s="126"/>
      <c r="D52" s="126"/>
    </row>
    <row r="53" spans="1:4" ht="18" customHeight="1" x14ac:dyDescent="0.2">
      <c r="A53" s="232" t="s">
        <v>69</v>
      </c>
      <c r="B53" s="233" t="s">
        <v>70</v>
      </c>
      <c r="C53" s="233"/>
      <c r="D53" s="233"/>
    </row>
    <row r="54" spans="1:4" ht="18" customHeight="1" x14ac:dyDescent="0.2">
      <c r="A54" s="232"/>
      <c r="B54" s="127" t="s">
        <v>71</v>
      </c>
      <c r="C54" s="127" t="s">
        <v>72</v>
      </c>
      <c r="D54" s="128" t="s">
        <v>73</v>
      </c>
    </row>
    <row r="55" spans="1:4" ht="56.65" customHeight="1" x14ac:dyDescent="0.2">
      <c r="A55" s="132" t="s">
        <v>45</v>
      </c>
      <c r="B55" s="132" t="s">
        <v>230</v>
      </c>
      <c r="C55" s="132" t="s">
        <v>231</v>
      </c>
      <c r="D55" s="133" t="s">
        <v>232</v>
      </c>
    </row>
    <row r="56" spans="1:4" ht="56.65" customHeight="1" x14ac:dyDescent="0.2">
      <c r="A56" s="130" t="s">
        <v>233</v>
      </c>
      <c r="B56" s="130" t="s">
        <v>234</v>
      </c>
      <c r="C56" s="130" t="s">
        <v>235</v>
      </c>
      <c r="D56" s="131" t="s">
        <v>236</v>
      </c>
    </row>
    <row r="57" spans="1:4" ht="56.65" customHeight="1" x14ac:dyDescent="0.2">
      <c r="A57" s="132" t="s">
        <v>48</v>
      </c>
      <c r="B57" s="132" t="s">
        <v>237</v>
      </c>
      <c r="C57" s="132" t="s">
        <v>238</v>
      </c>
      <c r="D57" s="133" t="s">
        <v>239</v>
      </c>
    </row>
    <row r="58" spans="1:4" ht="18" customHeight="1" x14ac:dyDescent="0.2">
      <c r="A58" s="124"/>
      <c r="B58" s="124"/>
      <c r="C58" s="124"/>
      <c r="D58" s="125"/>
    </row>
    <row r="59" spans="1:4" ht="18" customHeight="1" x14ac:dyDescent="0.2">
      <c r="A59" s="134"/>
      <c r="B59" s="134"/>
      <c r="C59" s="134"/>
      <c r="D59" s="135"/>
    </row>
    <row r="60" spans="1:4" ht="18" customHeight="1" x14ac:dyDescent="0.2">
      <c r="A60" s="235" t="s">
        <v>240</v>
      </c>
      <c r="B60" s="236" t="s">
        <v>241</v>
      </c>
      <c r="C60" s="236"/>
      <c r="D60" s="236"/>
    </row>
    <row r="61" spans="1:4" ht="15.75" customHeight="1" x14ac:dyDescent="0.2">
      <c r="A61" s="235"/>
      <c r="B61" s="236"/>
      <c r="C61" s="236"/>
      <c r="D61" s="236"/>
    </row>
    <row r="76" spans="1:4" ht="14.65" customHeight="1" x14ac:dyDescent="0.2"/>
    <row r="77" spans="1:4" ht="12.95" customHeight="1" x14ac:dyDescent="0.2"/>
    <row r="78" spans="1:4" ht="15.95" customHeight="1" x14ac:dyDescent="0.2">
      <c r="A78" s="234"/>
      <c r="B78" s="234"/>
      <c r="C78" s="234"/>
      <c r="D78" s="234"/>
    </row>
    <row r="79" spans="1:4" ht="12.95" customHeight="1" x14ac:dyDescent="0.2">
      <c r="A79" s="118"/>
      <c r="B79" s="118"/>
      <c r="C79" s="118"/>
      <c r="D79" s="118"/>
    </row>
    <row r="80" spans="1:4" ht="11.25" customHeight="1" x14ac:dyDescent="0.2">
      <c r="A80" s="229" t="s">
        <v>69</v>
      </c>
      <c r="B80" s="230" t="s">
        <v>70</v>
      </c>
      <c r="C80" s="230"/>
      <c r="D80" s="230"/>
    </row>
    <row r="81" spans="1:4" ht="12" customHeight="1" x14ac:dyDescent="0.2">
      <c r="A81" s="229"/>
      <c r="B81" s="119" t="s">
        <v>71</v>
      </c>
      <c r="C81" s="119" t="s">
        <v>72</v>
      </c>
      <c r="D81" s="120" t="s">
        <v>73</v>
      </c>
    </row>
    <row r="82" spans="1:4" ht="44.1" customHeight="1" x14ac:dyDescent="0.2">
      <c r="A82" s="121" t="s">
        <v>242</v>
      </c>
      <c r="B82" s="121" t="s">
        <v>211</v>
      </c>
      <c r="C82" s="121" t="s">
        <v>243</v>
      </c>
      <c r="D82" s="122" t="s">
        <v>213</v>
      </c>
    </row>
    <row r="83" spans="1:4" ht="44.1" customHeight="1" x14ac:dyDescent="0.2">
      <c r="A83" s="121" t="s">
        <v>244</v>
      </c>
      <c r="B83" s="121" t="s">
        <v>214</v>
      </c>
      <c r="C83" s="121" t="s">
        <v>215</v>
      </c>
      <c r="D83" s="122" t="s">
        <v>245</v>
      </c>
    </row>
    <row r="84" spans="1:4" ht="44.1" customHeight="1" x14ac:dyDescent="0.2">
      <c r="A84" s="121" t="s">
        <v>246</v>
      </c>
      <c r="B84" s="121" t="s">
        <v>217</v>
      </c>
      <c r="C84" s="121" t="s">
        <v>247</v>
      </c>
      <c r="D84" s="122" t="s">
        <v>219</v>
      </c>
    </row>
    <row r="85" spans="1:4" ht="33" customHeight="1" x14ac:dyDescent="0.2">
      <c r="A85" s="121" t="s">
        <v>248</v>
      </c>
      <c r="B85" s="121" t="s">
        <v>249</v>
      </c>
      <c r="C85" s="121" t="s">
        <v>250</v>
      </c>
      <c r="D85" s="122" t="s">
        <v>251</v>
      </c>
    </row>
    <row r="86" spans="1:4" ht="44.1" customHeight="1" x14ac:dyDescent="0.2">
      <c r="A86" s="121" t="s">
        <v>252</v>
      </c>
      <c r="B86" s="121" t="s">
        <v>223</v>
      </c>
      <c r="C86" s="121" t="s">
        <v>253</v>
      </c>
      <c r="D86" s="122" t="s">
        <v>254</v>
      </c>
    </row>
    <row r="87" spans="1:4" ht="44.1" customHeight="1" x14ac:dyDescent="0.2">
      <c r="A87" s="121" t="s">
        <v>255</v>
      </c>
      <c r="B87" s="121" t="s">
        <v>256</v>
      </c>
      <c r="C87" s="121" t="s">
        <v>257</v>
      </c>
      <c r="D87" s="122" t="s">
        <v>228</v>
      </c>
    </row>
    <row r="88" spans="1:4" ht="12.95" customHeight="1" x14ac:dyDescent="0.2">
      <c r="A88" s="121"/>
      <c r="B88" s="121"/>
      <c r="C88" s="121"/>
      <c r="D88" s="122"/>
    </row>
    <row r="89" spans="1:4" ht="12.95" customHeight="1" x14ac:dyDescent="0.2">
      <c r="A89" s="121"/>
      <c r="B89" s="121"/>
      <c r="C89" s="121"/>
      <c r="D89" s="122"/>
    </row>
    <row r="90" spans="1:4" ht="12.95" customHeight="1" x14ac:dyDescent="0.2">
      <c r="A90" s="121"/>
      <c r="B90" s="121"/>
      <c r="C90" s="121"/>
      <c r="D90" s="122"/>
    </row>
    <row r="91" spans="1:4" ht="12.95" customHeight="1" x14ac:dyDescent="0.2">
      <c r="A91" s="121"/>
      <c r="B91" s="121"/>
      <c r="C91" s="121"/>
      <c r="D91" s="122"/>
    </row>
    <row r="92" spans="1:4" ht="12.95" customHeight="1" x14ac:dyDescent="0.2">
      <c r="A92" s="121"/>
      <c r="B92" s="121"/>
      <c r="C92" s="121"/>
      <c r="D92" s="122"/>
    </row>
    <row r="93" spans="1:4" ht="12.75" customHeight="1" x14ac:dyDescent="0.2">
      <c r="A93" s="136"/>
      <c r="B93" s="136"/>
      <c r="C93" s="136"/>
      <c r="D93" s="137"/>
    </row>
    <row r="94" spans="1:4" ht="12.95" customHeight="1" x14ac:dyDescent="0.2"/>
    <row r="95" spans="1:4" ht="12.95" customHeight="1" x14ac:dyDescent="0.2"/>
    <row r="96" spans="1:4" ht="12.95" customHeight="1" x14ac:dyDescent="0.2"/>
    <row r="97" ht="12.95" customHeight="1" x14ac:dyDescent="0.2"/>
    <row r="98" ht="12.95" customHeight="1" x14ac:dyDescent="0.2"/>
    <row r="99" ht="12.95" customHeight="1" x14ac:dyDescent="0.2"/>
    <row r="100" ht="12.95" customHeight="1" x14ac:dyDescent="0.2"/>
    <row r="101" ht="12.95" customHeight="1" x14ac:dyDescent="0.2"/>
    <row r="102" ht="12.95" customHeight="1" x14ac:dyDescent="0.2"/>
    <row r="103" ht="12.95" customHeight="1" x14ac:dyDescent="0.2"/>
    <row r="104" ht="12.95" customHeight="1" x14ac:dyDescent="0.2"/>
    <row r="105" ht="12.95" customHeight="1" x14ac:dyDescent="0.2"/>
    <row r="106" ht="12.95" customHeight="1" x14ac:dyDescent="0.2"/>
    <row r="107" ht="12.95" customHeight="1" x14ac:dyDescent="0.2"/>
    <row r="108" ht="12.95" customHeight="1" x14ac:dyDescent="0.2"/>
    <row r="109" ht="12.95" customHeight="1" x14ac:dyDescent="0.2"/>
    <row r="110" ht="12.95" customHeight="1" x14ac:dyDescent="0.2"/>
    <row r="111" ht="12.95" customHeight="1" x14ac:dyDescent="0.2"/>
    <row r="112" ht="12.95" customHeight="1" x14ac:dyDescent="0.2"/>
    <row r="113" ht="12.95" customHeight="1" x14ac:dyDescent="0.2"/>
    <row r="114" ht="12.95" customHeight="1" x14ac:dyDescent="0.2"/>
    <row r="115" ht="12.95" customHeight="1" x14ac:dyDescent="0.2"/>
    <row r="116" ht="12.95" customHeight="1" x14ac:dyDescent="0.2"/>
    <row r="117" ht="12.95" customHeight="1" x14ac:dyDescent="0.2"/>
    <row r="118" ht="12.95" customHeight="1" x14ac:dyDescent="0.2"/>
    <row r="119" ht="12.95" customHeight="1" x14ac:dyDescent="0.2"/>
    <row r="120" ht="12.95" customHeight="1" x14ac:dyDescent="0.2"/>
    <row r="121" ht="12.95" customHeight="1" x14ac:dyDescent="0.2"/>
    <row r="122" ht="12.95" customHeight="1" x14ac:dyDescent="0.2"/>
    <row r="123" ht="12.95" customHeight="1" x14ac:dyDescent="0.2"/>
    <row r="124" ht="12.95" customHeight="1" x14ac:dyDescent="0.2"/>
    <row r="125" ht="12.95" customHeight="1" x14ac:dyDescent="0.2"/>
    <row r="126" ht="12.95" customHeight="1" x14ac:dyDescent="0.2"/>
    <row r="127" ht="12.95" customHeight="1" x14ac:dyDescent="0.2"/>
    <row r="128" ht="12.95" customHeight="1" x14ac:dyDescent="0.2"/>
    <row r="129" spans="1:4" ht="12.95" customHeight="1" x14ac:dyDescent="0.2"/>
    <row r="130" spans="1:4" ht="12.95" customHeight="1" x14ac:dyDescent="0.2"/>
    <row r="131" spans="1:4" ht="12.95" customHeight="1" x14ac:dyDescent="0.2"/>
    <row r="132" spans="1:4" ht="12.95" customHeight="1" x14ac:dyDescent="0.2"/>
    <row r="133" spans="1:4" ht="12.95" customHeight="1" x14ac:dyDescent="0.2">
      <c r="A133" s="117" t="s">
        <v>258</v>
      </c>
      <c r="B133" s="117" t="s">
        <v>259</v>
      </c>
      <c r="C133" s="117" t="s">
        <v>260</v>
      </c>
      <c r="D133" s="117" t="s">
        <v>232</v>
      </c>
    </row>
    <row r="134" spans="1:4" ht="12.95" customHeight="1" x14ac:dyDescent="0.2">
      <c r="A134" s="117" t="s">
        <v>261</v>
      </c>
      <c r="B134" s="117" t="s">
        <v>262</v>
      </c>
      <c r="C134" s="117" t="s">
        <v>263</v>
      </c>
      <c r="D134" s="117" t="s">
        <v>236</v>
      </c>
    </row>
    <row r="135" spans="1:4" ht="54.95" customHeight="1" x14ac:dyDescent="0.2">
      <c r="A135" s="117" t="s">
        <v>264</v>
      </c>
      <c r="B135" s="138" t="s">
        <v>265</v>
      </c>
      <c r="C135" s="138" t="s">
        <v>266</v>
      </c>
      <c r="D135" s="138" t="s">
        <v>267</v>
      </c>
    </row>
    <row r="136" spans="1:4" ht="14.65" customHeight="1" x14ac:dyDescent="0.2"/>
    <row r="65536" ht="12.75" customHeight="1" x14ac:dyDescent="0.2"/>
  </sheetData>
  <sheetProtection password="CA9C" sheet="1" objects="1" scenarios="1"/>
  <mergeCells count="14">
    <mergeCell ref="A78:D78"/>
    <mergeCell ref="A80:A81"/>
    <mergeCell ref="B80:D80"/>
    <mergeCell ref="A51:D51"/>
    <mergeCell ref="A53:A54"/>
    <mergeCell ref="B53:D53"/>
    <mergeCell ref="A60:A61"/>
    <mergeCell ref="B60:D61"/>
    <mergeCell ref="A1:D1"/>
    <mergeCell ref="A3:A4"/>
    <mergeCell ref="B3:D3"/>
    <mergeCell ref="A40:D40"/>
    <mergeCell ref="A42:A43"/>
    <mergeCell ref="B42:D42"/>
  </mergeCells>
  <pageMargins left="0.35416666666666702" right="0.27569444444444402" top="0.39374999999999999" bottom="0.51180555555555596" header="0.511811023622047" footer="0"/>
  <pageSetup paperSize="9" orientation="landscape" horizontalDpi="300" verticalDpi="300" r:id="rId1"/>
  <headerFooter>
    <oddFooter>&amp;R&amp;8&amp;P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8"/>
  <sheetViews>
    <sheetView view="pageBreakPreview" zoomScaleNormal="100" workbookViewId="0">
      <selection activeCell="A7" sqref="A7"/>
    </sheetView>
  </sheetViews>
  <sheetFormatPr baseColWidth="10" defaultColWidth="11.42578125" defaultRowHeight="12.75" x14ac:dyDescent="0.2"/>
  <sheetData>
    <row r="1" spans="1:1" x14ac:dyDescent="0.2">
      <c r="A1" t="s">
        <v>268</v>
      </c>
    </row>
    <row r="2" spans="1:1" x14ac:dyDescent="0.2">
      <c r="A2" t="s">
        <v>269</v>
      </c>
    </row>
    <row r="3" spans="1:1" x14ac:dyDescent="0.2">
      <c r="A3" t="s">
        <v>270</v>
      </c>
    </row>
    <row r="4" spans="1:1" x14ac:dyDescent="0.2">
      <c r="A4" t="s">
        <v>271</v>
      </c>
    </row>
    <row r="6" spans="1:1" x14ac:dyDescent="0.2">
      <c r="A6" t="s">
        <v>272</v>
      </c>
    </row>
    <row r="7" spans="1:1" x14ac:dyDescent="0.2">
      <c r="A7" t="s">
        <v>273</v>
      </c>
    </row>
    <row r="8" spans="1:1" x14ac:dyDescent="0.2">
      <c r="A8" t="s">
        <v>274</v>
      </c>
    </row>
  </sheetData>
  <sheetProtection password="CA9C" sheet="1" objects="1" scenarios="1"/>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1"/>
  <sheetViews>
    <sheetView view="pageBreakPreview" zoomScaleNormal="100" workbookViewId="0">
      <selection activeCell="B17" sqref="B17"/>
    </sheetView>
  </sheetViews>
  <sheetFormatPr baseColWidth="10" defaultColWidth="11.42578125" defaultRowHeight="12.75" x14ac:dyDescent="0.2"/>
  <sheetData>
    <row r="1" spans="1:1" x14ac:dyDescent="0.2">
      <c r="A1" t="s">
        <v>275</v>
      </c>
    </row>
    <row r="2" spans="1:1" x14ac:dyDescent="0.2">
      <c r="A2" t="s">
        <v>276</v>
      </c>
    </row>
    <row r="3" spans="1:1" x14ac:dyDescent="0.2">
      <c r="A3" t="s">
        <v>277</v>
      </c>
    </row>
    <row r="5" spans="1:1" x14ac:dyDescent="0.2">
      <c r="A5" t="s">
        <v>278</v>
      </c>
    </row>
    <row r="6" spans="1:1" x14ac:dyDescent="0.2">
      <c r="A6" t="s">
        <v>279</v>
      </c>
    </row>
    <row r="7" spans="1:1" x14ac:dyDescent="0.2">
      <c r="A7" t="s">
        <v>280</v>
      </c>
    </row>
    <row r="8" spans="1:1" x14ac:dyDescent="0.2">
      <c r="A8" t="s">
        <v>281</v>
      </c>
    </row>
    <row r="9" spans="1:1" x14ac:dyDescent="0.2">
      <c r="A9" t="s">
        <v>282</v>
      </c>
    </row>
    <row r="11" spans="1:1" x14ac:dyDescent="0.2">
      <c r="A11" t="s">
        <v>283</v>
      </c>
    </row>
    <row r="12" spans="1:1" x14ac:dyDescent="0.2">
      <c r="A12" t="s">
        <v>284</v>
      </c>
    </row>
    <row r="13" spans="1:1" x14ac:dyDescent="0.2">
      <c r="A13" t="s">
        <v>285</v>
      </c>
    </row>
    <row r="14" spans="1:1" x14ac:dyDescent="0.2">
      <c r="A14" t="s">
        <v>286</v>
      </c>
    </row>
    <row r="15" spans="1:1" x14ac:dyDescent="0.2">
      <c r="A15" t="s">
        <v>287</v>
      </c>
    </row>
    <row r="17" spans="1:3" x14ac:dyDescent="0.2">
      <c r="A17" t="s">
        <v>288</v>
      </c>
      <c r="C17" t="s">
        <v>301</v>
      </c>
    </row>
    <row r="18" spans="1:3" x14ac:dyDescent="0.2">
      <c r="A18" t="s">
        <v>289</v>
      </c>
      <c r="C18" t="s">
        <v>294</v>
      </c>
    </row>
    <row r="19" spans="1:3" x14ac:dyDescent="0.2">
      <c r="A19" t="s">
        <v>290</v>
      </c>
    </row>
    <row r="20" spans="1:3" x14ac:dyDescent="0.2">
      <c r="A20" t="s">
        <v>291</v>
      </c>
    </row>
    <row r="21" spans="1:3" x14ac:dyDescent="0.2">
      <c r="A21" t="s">
        <v>292</v>
      </c>
    </row>
  </sheetData>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6834</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5</vt:i4>
      </vt:variant>
    </vt:vector>
  </HeadingPairs>
  <TitlesOfParts>
    <vt:vector size="9" baseType="lpstr">
      <vt:lpstr>Formulario</vt:lpstr>
      <vt:lpstr>Tecnicas</vt:lpstr>
      <vt:lpstr>NOTA</vt:lpstr>
      <vt:lpstr>Hoja6</vt:lpstr>
      <vt:lpstr>Formulario!Excel_BuiltIn__FilterDatabase</vt:lpstr>
      <vt:lpstr>Formulario!Print_Area</vt:lpstr>
      <vt:lpstr>Tecnicas!Print_Area</vt:lpstr>
      <vt:lpstr>Tecnicas!Print_Titles</vt:lpstr>
      <vt:lpstr>Formulario!Títulos_a_imprimir</vt:lpstr>
    </vt:vector>
  </TitlesOfParts>
  <Company>senres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Marilyn Salgado Nolivos</dc:creator>
  <cp:lastModifiedBy>Marilin Salgado Nolivos</cp:lastModifiedBy>
  <cp:lastPrinted>2024-02-02T16:12:19Z</cp:lastPrinted>
  <dcterms:created xsi:type="dcterms:W3CDTF">2024-01-23T13:33:19Z</dcterms:created>
  <dcterms:modified xsi:type="dcterms:W3CDTF">2025-01-23T16:47:27Z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2008-06-18T01:54:17Z</dcterms:created>
  <dc:creator>senres</dc:creator>
  <dc:description/>
  <dc:language>es-EC</dc:language>
  <cp:lastModifiedBy/>
  <cp:lastPrinted>2020-02-04T10:13:59Z</cp:lastPrinted>
  <dcterms:modified xsi:type="dcterms:W3CDTF">2023-09-19T10:39:10Z</dcterms:modified>
  <cp:revision>74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true</vt:bool>
  </property>
  <property fmtid="{D5CDD505-2E9C-101B-9397-08002B2CF9AE}" pid="3" name="KSOProductBuildVer">
    <vt:lpwstr>1033-10.1.0.6757</vt:lpwstr>
  </property>
  <property fmtid="{D5CDD505-2E9C-101B-9397-08002B2CF9AE}" pid="4" name="LinksUpToDate">
    <vt:bool>true</vt:bool>
  </property>
  <property fmtid="{D5CDD505-2E9C-101B-9397-08002B2CF9AE}" pid="5" name="ScaleCrop">
    <vt:bool>true</vt:bool>
  </property>
  <property fmtid="{D5CDD505-2E9C-101B-9397-08002B2CF9AE}" pid="6" name="ShareDoc">
    <vt:bool>true</vt:bool>
  </property>
</Properties>
</file>