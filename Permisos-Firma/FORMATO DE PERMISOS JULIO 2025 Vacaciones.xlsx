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\Permisos-Firma\"/>
    </mc:Choice>
  </mc:AlternateContent>
  <xr:revisionPtr revIDLastSave="0" documentId="8_{845F5223-74E7-4CCF-86BD-B87387D328EE}" xr6:coauthVersionLast="47" xr6:coauthVersionMax="47" xr10:uidLastSave="{00000000-0000-0000-0000-000000000000}"/>
  <workbookProtection workbookAlgorithmName="SHA-512" workbookHashValue="/uthRT/6lqBWkSP5wdOkZZbPNvSPatsp/lJ2EWyy2mpXn0eGSDP+yg4bx7/YossY9I9Y3OmLP72pb3B/R8DhUw==" workbookSaltValue="HRzz96Tar6YPpATDvq6Tsg==" workbookSpinCount="100000" lockStructure="1"/>
  <bookViews>
    <workbookView xWindow="-120" yWindow="-120" windowWidth="20730" windowHeight="11040" xr2:uid="{A22EFA29-779E-4F6F-81BE-264C4DF5F424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B38" i="1"/>
  <c r="B28" i="1"/>
  <c r="B29" i="1"/>
  <c r="B30" i="1"/>
  <c r="D28" i="1"/>
  <c r="H29" i="1"/>
  <c r="H30" i="1"/>
  <c r="H31" i="1"/>
  <c r="H28" i="1"/>
  <c r="A39" i="1"/>
  <c r="E30" i="1" l="1"/>
  <c r="E29" i="1"/>
  <c r="B9" i="1" l="1"/>
  <c r="E9" i="1"/>
  <c r="E31" i="1" s="1"/>
  <c r="B31" i="1" l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<sst xmlns="http://schemas.openxmlformats.org/spreadsheetml/2006/main" count="346" uniqueCount="149">
  <si>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</si>
  <si>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</si>
  <si>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</si>
  <si>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</si>
  <si>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</si>
  <si>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</si>
  <si>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</si>
  <si>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</si>
  <si>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</si>
  <si>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</si>
  <si>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</si>
  <si>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30/06/2025</t>
  </si>
  <si>
    <t>días laborables</t>
  </si>
  <si>
    <t>PERSONAL:</t>
  </si>
  <si>
    <t>X</t>
  </si>
  <si>
    <t xml:space="preserve">HORA DE SALIDA: </t>
  </si>
  <si>
    <t>DESDE:</t>
  </si>
  <si>
    <t>CALAMIDAD DOMÉSTICA: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</si>
  <si>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</si>
  <si>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</si>
  <si>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</si>
  <si>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</si>
  <si>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</si>
  <si>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</si>
  <si>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</si>
  <si>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</si>
  <si>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</si>
  <si>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Antonieta Araujo</t>
  </si>
  <si>
    <t>SERVIDOR(A)</t>
  </si>
  <si>
    <t>DIRECTOR(A)</t>
  </si>
  <si>
    <t>DIRECCION ADMINISTRATIVA</t>
  </si>
  <si>
    <r>
      <t xml:space="preserve">NOTA: </t>
    </r>
    <r>
      <rPr>
        <sz val="7"/>
        <color theme="1"/>
        <rFont val="Arial"/>
        <family val="2"/>
      </rPr>
      <t>Los permisos autorizará únicamente el Director o Jefe de área</t>
    </r>
  </si>
  <si>
    <t xml:space="preserve">Departamento Administrativo </t>
  </si>
  <si>
    <t>Formulario # 014</t>
  </si>
  <si>
    <t>OBSERVACIONES:</t>
  </si>
  <si>
    <t>VACACIONES</t>
  </si>
  <si>
    <t xml:space="preserve"> PERMISOS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</si>
  <si>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</si>
  <si>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</si>
  <si>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</si>
  <si>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</si>
  <si>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</si>
  <si>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</si>
  <si>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</si>
  <si>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</si>
  <si>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</si>
  <si>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</si>
  <si>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</si>
  <si>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</si>
  <si>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</si>
  <si>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</si>
  <si>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</si>
  <si>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</si>
  <si>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</si>
  <si>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</si>
  <si>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>Jeanine Alvear</t>
  </si>
  <si>
    <t>Dirección de Fomento Productivo</t>
  </si>
  <si>
    <t>María José Almache</t>
  </si>
  <si>
    <t>Paola Cadena</t>
  </si>
  <si>
    <t>Dirección de Proyectos, Seguimiento y Monitoreo</t>
  </si>
  <si>
    <t>Gabriela Banda</t>
  </si>
  <si>
    <t>Dirección de Asesoría Jurídica</t>
  </si>
  <si>
    <t>Jenny Carrillo</t>
  </si>
  <si>
    <t>Dirección de Planificación</t>
  </si>
  <si>
    <t>Viviana De la Cadena</t>
  </si>
  <si>
    <t>Dirección de Cooperación Internacional</t>
  </si>
  <si>
    <t>Dirección de Cooperación</t>
  </si>
  <si>
    <t>Lorena Erazo</t>
  </si>
  <si>
    <t>Gianpaolo Franke</t>
  </si>
  <si>
    <t>Katia Fustillos</t>
  </si>
  <si>
    <t>Dirección Financiera</t>
  </si>
  <si>
    <t>Victoria Guerra</t>
  </si>
  <si>
    <t>Katherin Guaygua</t>
  </si>
  <si>
    <t>Renán Guerrero</t>
  </si>
  <si>
    <t>Dirección de Tecnologías de la Información</t>
  </si>
  <si>
    <t>Direccion Ejecutiva</t>
  </si>
  <si>
    <t>Henrry Guzmán</t>
  </si>
  <si>
    <t>Lenin Illapa</t>
  </si>
  <si>
    <t>María Elena Llerena</t>
  </si>
  <si>
    <t>Verónica Marchán</t>
  </si>
  <si>
    <t>Byron Mera</t>
  </si>
  <si>
    <t>Mónica Muñoz</t>
  </si>
  <si>
    <t>Sandra Negrete</t>
  </si>
  <si>
    <t>Joe Ortiz</t>
  </si>
  <si>
    <t>Cristina Pucha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</si>
  <si>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</si>
  <si>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</si>
  <si>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</si>
  <si>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</si>
  <si>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</si>
  <si>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</si>
  <si>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</si>
  <si>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</t>
  </si>
  <si>
    <t>David Sánchez</t>
  </si>
  <si>
    <t>María Toapanta</t>
  </si>
  <si>
    <t>Juan Carlos Torres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</si>
  <si>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</si>
  <si>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</si>
  <si>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</si>
  <si>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</si>
  <si>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</si>
  <si>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</si>
  <si>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</si>
  <si>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</si>
  <si>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</si>
  <si>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</si>
  <si>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</si>
  <si>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</si>
  <si>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</si>
  <si>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</si>
  <si>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</si>
  <si>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</si>
  <si>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</si>
  <si>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Carmen Imbaquingo</t>
  </si>
  <si>
    <t>Pedro Díaz</t>
  </si>
  <si>
    <t>Luis Santiana</t>
  </si>
  <si>
    <t>Jhonatan Suárez</t>
  </si>
  <si>
    <t>Byron Díaz</t>
  </si>
  <si>
    <t>Diana Pérez</t>
  </si>
  <si>
    <t>Henry Moreira.</t>
  </si>
  <si>
    <t>Victoria Camacho</t>
  </si>
  <si>
    <t>Nicole Pacheco</t>
  </si>
  <si>
    <t>Gustavo Guamán</t>
  </si>
  <si>
    <t>Manuela Troya</t>
  </si>
  <si>
    <t>Evelyn Eche</t>
  </si>
  <si>
    <t>Juan Carlos Salvador</t>
  </si>
  <si>
    <t>Santiago Cañar</t>
  </si>
  <si>
    <t>Maurico Gaibor</t>
  </si>
  <si>
    <t>Mayra Arias</t>
  </si>
  <si>
    <t>Paulina Román</t>
  </si>
  <si>
    <t>Walter Morante</t>
  </si>
  <si>
    <t>Diego Sáenz</t>
  </si>
  <si>
    <t xml:space="preserve">Dirección de Planificación </t>
  </si>
  <si>
    <t>Wiliam Salazar</t>
  </si>
  <si>
    <t>Natalia Jiménez</t>
  </si>
  <si>
    <t>Gabriela Arias</t>
  </si>
  <si>
    <t>Héctor Valladarez</t>
  </si>
  <si>
    <t>Andrés López</t>
  </si>
  <si>
    <t>César Ramos</t>
  </si>
  <si>
    <t>Sandra Pinto</t>
  </si>
  <si>
    <t>Rocío Granda</t>
  </si>
  <si>
    <t>Norma Arcos</t>
  </si>
  <si>
    <t>Javier Chillogallo</t>
  </si>
  <si>
    <t>Mauro Baquero</t>
  </si>
  <si>
    <t>Katherine Vásquez</t>
  </si>
  <si>
    <t>Miguel Viera</t>
  </si>
  <si>
    <t>Marcelo Torres</t>
  </si>
  <si>
    <t>Guillermo Salazar</t>
  </si>
  <si>
    <t>Liliana Marquez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</si>
</sst>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3" borderId="0" xfId="0" applyFont="1" applyFill="1" applyAlignment="1">
      <alignment vertical="center" wrapText="1"/>
    </xf>
    <xf numFmtId="20" fontId="0" fillId="0" borderId="0" xfId="0" applyNumberFormat="1"/>
    <xf numFmtId="0" fontId="1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0" fillId="3" borderId="0" xfId="0" applyFill="1"/>
    <xf numFmtId="0" fontId="4" fillId="0" borderId="2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1" fontId="9" fillId="3" borderId="2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8" fillId="3" borderId="0" xfId="0" applyFont="1" applyFill="1" applyAlignment="1">
      <alignment horizontal="center" wrapText="1"/>
    </xf>
    <xf numFmtId="0" fontId="4" fillId="0" borderId="34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1" fillId="4" borderId="14" xfId="0" applyFont="1" applyFill="1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7" xfId="0" applyFont="1" applyBorder="1"/>
    <xf numFmtId="0" fontId="10" fillId="5" borderId="28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6" fillId="0" borderId="45" xfId="0" applyFont="1" applyBorder="1" applyAlignment="1" applyProtection="1">
      <alignment vertical="center" wrapText="1"/>
      <protection locked="0"/>
    </xf>
    <xf numFmtId="0" fontId="6" fillId="0" borderId="4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22" fontId="1" fillId="0" borderId="18" xfId="0" applyNumberFormat="1" applyFont="1" applyBorder="1" applyAlignment="1">
      <alignment horizontal="center" vertical="center" wrapText="1"/>
    </xf>
    <xf numFmtId="22" fontId="1" fillId="0" borderId="19" xfId="0" applyNumberFormat="1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20" fontId="1" fillId="0" borderId="31" xfId="0" applyNumberFormat="1" applyFont="1" applyBorder="1" applyAlignment="1" applyProtection="1">
      <alignment horizontal="center" vertical="center" wrapText="1"/>
      <protection locked="0"/>
    </xf>
    <xf numFmtId="14" fontId="1" fillId="0" borderId="35" xfId="0" applyNumberFormat="1" applyFont="1" applyBorder="1" applyAlignment="1" applyProtection="1">
      <alignment horizontal="center" vertical="center" wrapText="1"/>
      <protection locked="0"/>
    </xf>
    <xf numFmtId="0" fontId="2" fillId="0" borderId="3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14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/>
    </xf>
    <xf numFmtId="164" fontId="0" fillId="2" borderId="15" xfId="0" applyNumberFormat="1" applyFill="1" applyBorder="1" applyAlignment="1" applyProtection="1">
      <alignment horizontal="center" vertical="center"/>
      <protection locked="0"/>
    </xf>
    <xf numFmtId="164" fontId="0" fillId="2" borderId="16" xfId="0" applyNumberForma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20" fontId="1" fillId="0" borderId="31" xfId="0" applyNumberFormat="1" applyFont="1" applyBorder="1" applyAlignment="1">
      <alignment horizontal="center" vertical="center" wrapText="1"/>
    </xf>
    <xf numFmtId="14" fontId="1" fillId="0" borderId="35" xfId="0" applyNumberFormat="1" applyFont="1" applyBorder="1" applyAlignment="1">
      <alignment horizontal="center" vertical="center" wrapText="1"/>
    </xf>
    <xf numFmtId="20" fontId="1" fillId="0" borderId="15" xfId="0" applyNumberFormat="1" applyFont="1" applyBorder="1" applyAlignment="1" applyProtection="1">
      <alignment horizontal="center" vertical="center" wrapText="1"/>
      <protection locked="0"/>
    </xf>
    <xf numFmtId="14" fontId="1" fillId="0" borderId="16" xfId="0" applyNumberFormat="1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F58DF8A-1B90-4BAF-9538-A2B9E383730B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190500</xdr:colOff>
      <xdr:row>0</xdr:row>
      <xdr:rowOff>145676</xdr:rowOff>
    </xdr:from>
    <xdr:to>
      <xdr:col>5</xdr:col>
      <xdr:colOff>747202</xdr:colOff>
      <xdr:row>0</xdr:row>
      <xdr:rowOff>831476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ECF5C5-806B-4823-B11F-7F612489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647" y="145676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324970</xdr:colOff>
      <xdr:row>20</xdr:row>
      <xdr:rowOff>616323</xdr:rowOff>
    </xdr:from>
    <xdr:to>
      <xdr:col>6</xdr:col>
      <xdr:colOff>119672</xdr:colOff>
      <xdr:row>22</xdr:row>
      <xdr:rowOff>147356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7DE5C8-EF4B-4ACB-B2AC-9D373988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117" y="7339852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F8D4-4D58-4818-9513-488E9D2B7FD3}">
  <sheetPr>
    <pageSetUpPr fitToPage="1"/>
  </sheetPr>
  <dimension ref="A1:N39"/>
  <sheetViews>
    <sheetView tabSelected="1" topLeftCell="A28" zoomScale="85" zoomScaleNormal="85" workbookViewId="0">
      <selection activeCell="E9" sqref="E9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82"/>
      <c r="C1" s="82"/>
      <c r="D1" s="82"/>
      <c r="E1" s="82"/>
      <c r="F1" s="82"/>
      <c r="G1" s="82"/>
      <c r="H1" s="82"/>
    </row>
    <row r="2" spans="1:14" ht="18" customHeight="1" thickBot="1" x14ac:dyDescent="0.3">
      <c r="A2" s="91" t="s">
        <v>0</v>
      </c>
      <c r="B2" s="91"/>
      <c r="C2" s="91"/>
      <c r="D2" s="91"/>
      <c r="E2" s="91"/>
      <c r="F2" s="91"/>
      <c r="G2" s="91"/>
      <c r="H2" s="91"/>
      <c r="J2" s="96" t="s">
        <v>1</v>
      </c>
      <c r="K2" s="96"/>
    </row>
    <row r="3" spans="1:14" ht="25.5" customHeight="1" thickBot="1" x14ac:dyDescent="0.3">
      <c r="A3" s="64" t="s">
        <v>2</v>
      </c>
      <c r="B3" s="99"/>
      <c r="C3" s="64" t="str">
        <f>VLOOKUP($J$3,Hoja2!$A$3:$L$138,2,0)</f>
        <v>Norma Arcos</v>
      </c>
      <c r="D3" s="65"/>
      <c r="E3" s="100" t="s">
        <v>3</v>
      </c>
      <c r="F3" s="100"/>
      <c r="G3" s="64" t="str">
        <f>VLOOKUP($J$3,Hoja2!$A$3:$L$138,3,0)</f>
        <v>Dirección de Tecnologías de la Información</v>
      </c>
      <c r="H3" s="65"/>
      <c r="J3" s="97">
        <v>1719235432</v>
      </c>
      <c r="K3" s="98"/>
    </row>
    <row r="4" spans="1:14" ht="25.5" customHeight="1" thickTop="1" thickBot="1" x14ac:dyDescent="0.3">
      <c r="A4" s="64" t="s">
        <v>4</v>
      </c>
      <c r="B4" s="99"/>
      <c r="C4" s="66">
        <f>J3</f>
        <v>1719235432</v>
      </c>
      <c r="D4" s="67"/>
      <c r="E4" s="90" t="s">
        <v>5</v>
      </c>
      <c r="F4" s="90"/>
      <c r="G4" s="70">
        <f ca="1">NOW()</f>
        <v>45870.376204398148</v>
      </c>
      <c r="H4" s="71"/>
      <c r="J4" s="92" t="s">
        <v>6</v>
      </c>
      <c r="K4" s="93"/>
    </row>
    <row r="5" spans="1:14" ht="24.75" customHeight="1" thickBot="1" x14ac:dyDescent="0.3">
      <c r="A5" s="83" t="s">
        <v>7</v>
      </c>
      <c r="B5" s="84"/>
      <c r="C5" s="85"/>
      <c r="D5" s="86" t="s">
        <v>8</v>
      </c>
      <c r="E5" s="84"/>
      <c r="F5" s="87"/>
      <c r="G5" s="88" t="s">
        <v>9</v>
      </c>
      <c r="H5" s="89"/>
      <c r="N5" s="2">
        <v>0.35416666666666669</v>
      </c>
    </row>
    <row r="6" spans="1:14" ht="37.5" customHeight="1" x14ac:dyDescent="0.25">
      <c r="A6" s="12" t="s">
        <v>10</v>
      </c>
      <c r="B6" s="94">
        <v>45831</v>
      </c>
      <c r="C6" s="95"/>
      <c r="D6" s="4" t="s">
        <v>11</v>
      </c>
      <c r="E6" s="3">
        <f>VLOOKUP($J$3,Hoja2!$A$3:$L$138,9,0)</f>
        <v>8</v>
      </c>
      <c r="F6" s="5" t="s">
        <v>12</v>
      </c>
      <c r="G6" s="9" t="s">
        <v>13</v>
      </c>
      <c r="H6" s="25" t="s">
        <v>14</v>
      </c>
      <c r="J6" s="101"/>
      <c r="K6" s="101"/>
      <c r="N6" s="2">
        <v>0.375</v>
      </c>
    </row>
    <row r="7" spans="1:14" ht="37.5" customHeight="1" x14ac:dyDescent="0.25">
      <c r="A7" s="13" t="s">
        <v>15</v>
      </c>
      <c r="B7" s="104"/>
      <c r="C7" s="105"/>
      <c r="D7" s="14" t="s">
        <v>16</v>
      </c>
      <c r="E7" s="94">
        <v>45873</v>
      </c>
      <c r="F7" s="95"/>
      <c r="G7" s="10" t="s">
        <v>17</v>
      </c>
      <c r="H7" s="26"/>
      <c r="J7" s="22"/>
      <c r="K7" s="22"/>
      <c r="N7" s="2"/>
    </row>
    <row r="8" spans="1:14" ht="37.5" customHeight="1" x14ac:dyDescent="0.25">
      <c r="A8" s="13" t="s">
        <v>18</v>
      </c>
      <c r="B8" s="104"/>
      <c r="C8" s="105"/>
      <c r="D8" s="15" t="s">
        <v>19</v>
      </c>
      <c r="E8" s="94">
        <v>45884</v>
      </c>
      <c r="F8" s="95"/>
      <c r="G8" s="11" t="s">
        <v>20</v>
      </c>
      <c r="H8" s="26"/>
      <c r="J8" s="22"/>
      <c r="K8" s="22"/>
      <c r="N8" s="2"/>
    </row>
    <row r="9" spans="1:14" ht="37.5" customHeight="1" x14ac:dyDescent="0.25">
      <c r="A9" s="7" t="s">
        <v>21</v>
      </c>
      <c r="B9" s="102">
        <f>B8-B7</f>
        <v>0</v>
      </c>
      <c r="C9" s="103"/>
      <c r="D9" s="6" t="s">
        <v>22</v>
      </c>
      <c r="E9" s="3">
        <f>NETWORKDAYS(E7,E8)</f>
        <v>10</v>
      </c>
      <c r="F9" s="5" t="s">
        <v>12</v>
      </c>
      <c r="G9" s="23" t="s">
        <v>23</v>
      </c>
      <c r="H9" s="26"/>
      <c r="J9" s="22"/>
      <c r="K9" s="22"/>
      <c r="N9" s="2"/>
    </row>
    <row r="10" spans="1:14" ht="24.75" customHeight="1" thickTop="1" thickBot="1" x14ac:dyDescent="0.3">
      <c r="A10" s="58" t="s">
        <v>24</v>
      </c>
      <c r="B10" s="59"/>
      <c r="C10" s="58" t="s">
        <v>25</v>
      </c>
      <c r="D10" s="60"/>
      <c r="E10" s="80"/>
      <c r="F10" s="79" t="s">
        <v>26</v>
      </c>
      <c r="G10" s="60"/>
      <c r="H10" s="80"/>
      <c r="N10" s="2">
        <v>0.45833333333333398</v>
      </c>
    </row>
    <row r="11" spans="1:14" ht="44.25" customHeight="1" thickBot="1" x14ac:dyDescent="0.3">
      <c r="A11" s="55"/>
      <c r="B11" s="56"/>
      <c r="C11" s="112"/>
      <c r="D11" s="113"/>
      <c r="E11" s="114"/>
      <c r="F11" s="61"/>
      <c r="G11" s="62"/>
      <c r="H11" s="63"/>
      <c r="N11" s="2">
        <v>0.47916666666666702</v>
      </c>
    </row>
    <row r="12" spans="1:14" ht="18.75" customHeight="1" thickBot="1" x14ac:dyDescent="0.3">
      <c r="A12" s="55" t="str">
        <f>C3</f>
        <v>Norma Arcos</v>
      </c>
      <c r="B12" s="56"/>
      <c r="C12" s="55" t="str">
        <f>VLOOKUP($J$3,Hoja2!$A$3:$L$138,4,0)</f>
        <v>Dirección de Tecnologías de la Información</v>
      </c>
      <c r="D12" s="57"/>
      <c r="E12" s="56"/>
      <c r="F12" s="55" t="s">
        <v>27</v>
      </c>
      <c r="G12" s="57"/>
      <c r="H12" s="56"/>
      <c r="N12" s="2">
        <v>0.5</v>
      </c>
    </row>
    <row r="13" spans="1:14" ht="15.75" thickBot="1" x14ac:dyDescent="0.3">
      <c r="A13" s="58" t="s">
        <v>28</v>
      </c>
      <c r="B13" s="59"/>
      <c r="C13" s="58" t="s">
        <v>29</v>
      </c>
      <c r="D13" s="60"/>
      <c r="E13" s="59"/>
      <c r="F13" s="58" t="s">
        <v>30</v>
      </c>
      <c r="G13" s="60"/>
      <c r="H13" s="59"/>
      <c r="N13" s="2">
        <v>0.52083333333333404</v>
      </c>
    </row>
    <row r="14" spans="1:14" x14ac:dyDescent="0.25">
      <c r="A14" s="43" t="s">
        <v>31</v>
      </c>
      <c r="B14" s="44"/>
      <c r="C14" s="44"/>
      <c r="D14" s="44"/>
      <c r="E14" s="45"/>
      <c r="F14" s="46" t="s">
        <v>32</v>
      </c>
      <c r="G14" s="47"/>
      <c r="H14" s="48"/>
      <c r="N14" s="2">
        <v>0.54166666666666696</v>
      </c>
    </row>
    <row r="15" spans="1:14" ht="15.75" thickBot="1" x14ac:dyDescent="0.3">
      <c r="A15" s="106"/>
      <c r="B15" s="107"/>
      <c r="C15" s="107"/>
      <c r="D15" s="107"/>
      <c r="E15" s="108"/>
      <c r="F15" s="109" t="s">
        <v>33</v>
      </c>
      <c r="G15" s="110"/>
      <c r="H15" s="111"/>
      <c r="N15" s="2">
        <v>0.5625</v>
      </c>
    </row>
    <row r="16" spans="1:14" x14ac:dyDescent="0.25">
      <c r="A16" s="24" t="s">
        <v>34</v>
      </c>
      <c r="B16" s="115" t="s">
        <v>35</v>
      </c>
      <c r="C16" s="115"/>
      <c r="D16" s="115"/>
      <c r="E16" s="115"/>
      <c r="F16" s="115"/>
      <c r="G16" s="115"/>
      <c r="H16" s="116"/>
      <c r="N16" s="2"/>
    </row>
    <row r="17" spans="1:14" x14ac:dyDescent="0.25">
      <c r="A17" s="40"/>
      <c r="B17" s="117"/>
      <c r="C17" s="117"/>
      <c r="D17" s="117"/>
      <c r="E17" s="117"/>
      <c r="F17" s="117"/>
      <c r="G17" s="117"/>
      <c r="H17" s="118"/>
      <c r="N17" s="2"/>
    </row>
    <row r="18" spans="1:14" x14ac:dyDescent="0.25">
      <c r="A18" s="20"/>
      <c r="B18" s="20"/>
      <c r="C18" s="20"/>
      <c r="D18" s="20"/>
      <c r="E18" s="20"/>
      <c r="F18" s="21"/>
      <c r="G18" s="21"/>
      <c r="H18" s="21"/>
      <c r="N18" s="2"/>
    </row>
    <row r="19" spans="1:14" x14ac:dyDescent="0.25">
      <c r="A19" s="20"/>
      <c r="B19" s="20"/>
      <c r="C19" s="20"/>
      <c r="D19" s="20"/>
      <c r="E19" s="20"/>
      <c r="F19" s="21"/>
      <c r="G19" s="21"/>
      <c r="H19" s="21"/>
      <c r="N19" s="2"/>
    </row>
    <row r="20" spans="1:14" x14ac:dyDescent="0.25">
      <c r="A20" s="20"/>
      <c r="B20" s="20"/>
      <c r="C20" s="20"/>
      <c r="D20" s="20"/>
      <c r="E20" s="20"/>
      <c r="F20" s="21"/>
      <c r="G20" s="21"/>
      <c r="H20" s="21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82"/>
      <c r="C23" s="82"/>
      <c r="D23" s="82"/>
      <c r="E23" s="82"/>
      <c r="F23" s="82"/>
      <c r="G23" s="82"/>
      <c r="H23" s="82"/>
      <c r="N23" s="2">
        <v>0.625</v>
      </c>
    </row>
    <row r="24" spans="1:14" ht="15.75" thickBot="1" x14ac:dyDescent="0.3">
      <c r="A24" s="91" t="s">
        <v>0</v>
      </c>
      <c r="B24" s="91"/>
      <c r="C24" s="91"/>
      <c r="D24" s="91"/>
      <c r="E24" s="91"/>
      <c r="F24" s="91"/>
      <c r="G24" s="91"/>
      <c r="H24" s="91"/>
      <c r="N24" s="2">
        <v>0.64583333333333304</v>
      </c>
    </row>
    <row r="25" spans="1:14" ht="25.5" customHeight="1" thickBot="1" x14ac:dyDescent="0.3">
      <c r="A25" s="64" t="s">
        <v>2</v>
      </c>
      <c r="B25" s="65"/>
      <c r="C25" s="64" t="str">
        <f>C3</f>
        <v>Norma Arcos</v>
      </c>
      <c r="D25" s="65"/>
      <c r="E25" s="124" t="s">
        <v>3</v>
      </c>
      <c r="F25" s="125"/>
      <c r="G25" s="124" t="str">
        <f>G3</f>
        <v>Dirección de Tecnologías de la Información</v>
      </c>
      <c r="H25" s="125"/>
      <c r="N25" s="2">
        <v>0.66666666666666696</v>
      </c>
    </row>
    <row r="26" spans="1:14" ht="25.5" customHeight="1" thickTop="1" thickBot="1" x14ac:dyDescent="0.3">
      <c r="A26" s="64" t="s">
        <v>4</v>
      </c>
      <c r="B26" s="65"/>
      <c r="C26" s="66">
        <f>J3</f>
        <v>1719235432</v>
      </c>
      <c r="D26" s="67"/>
      <c r="E26" s="68" t="s">
        <v>5</v>
      </c>
      <c r="F26" s="69"/>
      <c r="G26" s="70">
        <f ca="1">NOW()</f>
        <v>45870.376204398148</v>
      </c>
      <c r="H26" s="71"/>
      <c r="N26" s="2">
        <v>0.6875</v>
      </c>
    </row>
    <row r="27" spans="1:14" ht="25.5" customHeight="1" thickBot="1" x14ac:dyDescent="0.3">
      <c r="A27" s="72" t="s">
        <v>7</v>
      </c>
      <c r="B27" s="73"/>
      <c r="C27" s="74"/>
      <c r="D27" s="72" t="s">
        <v>8</v>
      </c>
      <c r="E27" s="73"/>
      <c r="F27" s="74"/>
      <c r="G27" s="75" t="s">
        <v>9</v>
      </c>
      <c r="H27" s="76"/>
      <c r="N27" s="2">
        <v>0.70833333333333304</v>
      </c>
    </row>
    <row r="28" spans="1:14" ht="37.5" customHeight="1" thickTop="1" thickBot="1" x14ac:dyDescent="0.3">
      <c r="A28" s="12" t="s">
        <v>10</v>
      </c>
      <c r="B28" s="94">
        <f>IF(B6=0," ",B6)</f>
        <v>45831</v>
      </c>
      <c r="C28" s="95"/>
      <c r="D28" s="4" t="str">
        <f>D6</f>
        <v>SALDO DE VACACIONES AL 30/06/2025</v>
      </c>
      <c r="E28" s="3">
        <f>VLOOKUP($J$3,Hoja2!$A$3:$L$138,9,0)</f>
        <v>8</v>
      </c>
      <c r="F28" s="5" t="s">
        <v>12</v>
      </c>
      <c r="G28" s="9" t="s">
        <v>13</v>
      </c>
      <c r="H28" s="27" t="str">
        <f>IF(H6=0," ",H6)</f>
        <v>X</v>
      </c>
      <c r="J28" s="101"/>
      <c r="K28" s="101"/>
      <c r="N28" s="2">
        <v>0.375</v>
      </c>
    </row>
    <row r="29" spans="1:14" ht="37.5" customHeight="1" thickBot="1" x14ac:dyDescent="0.3">
      <c r="A29" s="13" t="s">
        <v>15</v>
      </c>
      <c r="B29" s="104">
        <f>B7</f>
        <v>0</v>
      </c>
      <c r="C29" s="105"/>
      <c r="D29" s="14" t="s">
        <v>16</v>
      </c>
      <c r="E29" s="123">
        <f>IF(E7=0," ",E7)</f>
        <v>45873</v>
      </c>
      <c r="F29" s="65"/>
      <c r="G29" s="10" t="s">
        <v>17</v>
      </c>
      <c r="H29" s="27" t="str">
        <f t="shared" ref="H29:H31" si="0">IF(H7=0," ",H7)</f>
        <v xml:space="preserve"> </v>
      </c>
      <c r="J29" s="22"/>
      <c r="K29" s="22"/>
      <c r="N29" s="2"/>
    </row>
    <row r="30" spans="1:14" ht="37.5" customHeight="1" thickBot="1" x14ac:dyDescent="0.3">
      <c r="A30" s="13" t="s">
        <v>18</v>
      </c>
      <c r="B30" s="104">
        <f>B8</f>
        <v>0</v>
      </c>
      <c r="C30" s="105"/>
      <c r="D30" s="15" t="s">
        <v>19</v>
      </c>
      <c r="E30" s="123">
        <f>IF(E8=0," ",E8)</f>
        <v>45884</v>
      </c>
      <c r="F30" s="65"/>
      <c r="G30" s="11" t="s">
        <v>20</v>
      </c>
      <c r="H30" s="27" t="str">
        <f t="shared" si="0"/>
        <v xml:space="preserve"> </v>
      </c>
      <c r="J30" s="22"/>
      <c r="K30" s="22"/>
      <c r="N30" s="2"/>
    </row>
    <row r="31" spans="1:14" ht="37.5" customHeight="1" thickBot="1" x14ac:dyDescent="0.3">
      <c r="A31" s="7" t="s">
        <v>21</v>
      </c>
      <c r="B31" s="77">
        <f>B9</f>
        <v>0</v>
      </c>
      <c r="C31" s="78"/>
      <c r="D31" s="6" t="s">
        <v>22</v>
      </c>
      <c r="E31" s="3">
        <f>E9</f>
        <v>10</v>
      </c>
      <c r="F31" s="5" t="s">
        <v>12</v>
      </c>
      <c r="G31" s="23" t="s">
        <v>23</v>
      </c>
      <c r="H31" s="28" t="str">
        <f t="shared" si="0"/>
        <v xml:space="preserve"> </v>
      </c>
      <c r="J31" s="22"/>
      <c r="K31" s="22"/>
      <c r="N31" s="2"/>
    </row>
    <row r="32" spans="1:14" ht="19.5" customHeight="1" thickTop="1" thickBot="1" x14ac:dyDescent="0.3">
      <c r="A32" s="79" t="s">
        <v>24</v>
      </c>
      <c r="B32" s="80"/>
      <c r="C32" s="79" t="s">
        <v>25</v>
      </c>
      <c r="D32" s="81"/>
      <c r="E32" s="80"/>
      <c r="F32" s="79" t="s">
        <v>26</v>
      </c>
      <c r="G32" s="81"/>
      <c r="H32" s="80"/>
    </row>
    <row r="33" spans="1:8" ht="50.25" customHeight="1" thickBot="1" x14ac:dyDescent="0.3">
      <c r="A33" s="55"/>
      <c r="B33" s="56"/>
      <c r="C33" s="112"/>
      <c r="D33" s="113"/>
      <c r="E33" s="114"/>
      <c r="F33" s="61"/>
      <c r="G33" s="62"/>
      <c r="H33" s="63"/>
    </row>
    <row r="34" spans="1:8" ht="25.5" customHeight="1" thickBot="1" x14ac:dyDescent="0.3">
      <c r="A34" s="55" t="str">
        <f>C25</f>
        <v>Norma Arcos</v>
      </c>
      <c r="B34" s="56"/>
      <c r="C34" s="55" t="str">
        <f>C12</f>
        <v>Dirección de Tecnologías de la Información</v>
      </c>
      <c r="D34" s="57"/>
      <c r="E34" s="56"/>
      <c r="F34" s="55" t="s">
        <v>27</v>
      </c>
      <c r="G34" s="57"/>
      <c r="H34" s="56"/>
    </row>
    <row r="35" spans="1:8" ht="25.5" customHeight="1" thickBot="1" x14ac:dyDescent="0.3">
      <c r="A35" s="58" t="s">
        <v>28</v>
      </c>
      <c r="B35" s="59"/>
      <c r="C35" s="58" t="s">
        <v>29</v>
      </c>
      <c r="D35" s="60"/>
      <c r="E35" s="59"/>
      <c r="F35" s="58" t="s">
        <v>30</v>
      </c>
      <c r="G35" s="60"/>
      <c r="H35" s="59"/>
    </row>
    <row r="36" spans="1:8" ht="15" customHeight="1" x14ac:dyDescent="0.25">
      <c r="A36" s="43" t="s">
        <v>31</v>
      </c>
      <c r="B36" s="44"/>
      <c r="C36" s="44"/>
      <c r="D36" s="44"/>
      <c r="E36" s="45"/>
      <c r="F36" s="46" t="s">
        <v>32</v>
      </c>
      <c r="G36" s="47"/>
      <c r="H36" s="48"/>
    </row>
    <row r="37" spans="1:8" ht="15.75" customHeight="1" thickBot="1" x14ac:dyDescent="0.3">
      <c r="A37" s="49"/>
      <c r="B37" s="50"/>
      <c r="C37" s="50"/>
      <c r="D37" s="50"/>
      <c r="E37" s="51"/>
      <c r="F37" s="52" t="s">
        <v>33</v>
      </c>
      <c r="G37" s="53"/>
      <c r="H37" s="54"/>
    </row>
    <row r="38" spans="1:8" ht="15.75" thickTop="1" x14ac:dyDescent="0.25">
      <c r="A38" s="24" t="s">
        <v>34</v>
      </c>
      <c r="B38" s="119" t="str">
        <f>B16</f>
        <v>VACACIONES</v>
      </c>
      <c r="C38" s="119"/>
      <c r="D38" s="119"/>
      <c r="E38" s="119"/>
      <c r="F38" s="119"/>
      <c r="G38" s="119"/>
      <c r="H38" s="120"/>
    </row>
    <row r="39" spans="1:8" ht="15.75" thickBot="1" x14ac:dyDescent="0.3">
      <c r="A39" s="41" t="str">
        <f>IF(A17=0," ",A17)</f>
        <v xml:space="preserve"> </v>
      </c>
      <c r="B39" s="121"/>
      <c r="C39" s="121"/>
      <c r="D39" s="121"/>
      <c r="E39" s="121"/>
      <c r="F39" s="121"/>
      <c r="G39" s="121"/>
      <c r="H39" s="122"/>
    </row>
  </sheetData>
  <sheetProtection algorithmName="SHA-512" hashValue="rFAIf6TmrxCHwabKcuVOq5nmfWrVyDK73eslH81iWGf+W7rW5GTz6xi7D/FZcsIHYawdtl6yE1yFjg6MA8hbFg==" saltValue="MEvuubg+E2wodNpNZSi+Yg==" spinCount="100000" sheet="1" objects="1" scenarios="1"/>
  <mergeCells count="77">
    <mergeCell ref="B16:H17"/>
    <mergeCell ref="B38:H39"/>
    <mergeCell ref="J28:K28"/>
    <mergeCell ref="B29:C29"/>
    <mergeCell ref="E29:F29"/>
    <mergeCell ref="B30:C30"/>
    <mergeCell ref="E30:F30"/>
    <mergeCell ref="B23:H23"/>
    <mergeCell ref="A24:H24"/>
    <mergeCell ref="A25:B25"/>
    <mergeCell ref="C25:D25"/>
    <mergeCell ref="E25:F25"/>
    <mergeCell ref="G25:H25"/>
    <mergeCell ref="F32:H32"/>
    <mergeCell ref="A33:B33"/>
    <mergeCell ref="C33:E33"/>
    <mergeCell ref="B9:C9"/>
    <mergeCell ref="E7:F7"/>
    <mergeCell ref="E8:F8"/>
    <mergeCell ref="B28:C28"/>
    <mergeCell ref="B7:C7"/>
    <mergeCell ref="B8:C8"/>
    <mergeCell ref="A14:E14"/>
    <mergeCell ref="A15:E15"/>
    <mergeCell ref="F14:H14"/>
    <mergeCell ref="F15:H15"/>
    <mergeCell ref="A10:B10"/>
    <mergeCell ref="C10:E10"/>
    <mergeCell ref="F10:H10"/>
    <mergeCell ref="A11:B11"/>
    <mergeCell ref="C11:E11"/>
    <mergeCell ref="F11:H11"/>
    <mergeCell ref="J4:K4"/>
    <mergeCell ref="B6:C6"/>
    <mergeCell ref="J2:K2"/>
    <mergeCell ref="J3:K3"/>
    <mergeCell ref="A3:B3"/>
    <mergeCell ref="C3:D3"/>
    <mergeCell ref="E3:F3"/>
    <mergeCell ref="G3:H3"/>
    <mergeCell ref="A4:B4"/>
    <mergeCell ref="J6:K6"/>
    <mergeCell ref="A12:B12"/>
    <mergeCell ref="C12:E12"/>
    <mergeCell ref="F12:H12"/>
    <mergeCell ref="A13:B13"/>
    <mergeCell ref="C13:E13"/>
    <mergeCell ref="F13:H13"/>
    <mergeCell ref="B1:H1"/>
    <mergeCell ref="A5:C5"/>
    <mergeCell ref="D5:F5"/>
    <mergeCell ref="G5:H5"/>
    <mergeCell ref="G4:H4"/>
    <mergeCell ref="C4:D4"/>
    <mergeCell ref="E4:F4"/>
    <mergeCell ref="A2:H2"/>
    <mergeCell ref="F33:H33"/>
    <mergeCell ref="A26:B26"/>
    <mergeCell ref="C26:D26"/>
    <mergeCell ref="E26:F26"/>
    <mergeCell ref="G26:H26"/>
    <mergeCell ref="A27:C27"/>
    <mergeCell ref="D27:F27"/>
    <mergeCell ref="G27:H27"/>
    <mergeCell ref="B31:C31"/>
    <mergeCell ref="A32:B32"/>
    <mergeCell ref="C32:E32"/>
    <mergeCell ref="A36:E36"/>
    <mergeCell ref="F36:H36"/>
    <mergeCell ref="A37:E37"/>
    <mergeCell ref="F37:H37"/>
    <mergeCell ref="A34:B34"/>
    <mergeCell ref="C34:E34"/>
    <mergeCell ref="F34:H34"/>
    <mergeCell ref="A35:B35"/>
    <mergeCell ref="C35:E35"/>
    <mergeCell ref="F35:H35"/>
  </mergeCells>
  <dataValidations disablePrompts="1" count="1">
    <dataValidation type="list" allowBlank="1" showInputMessage="1" showErrorMessage="1" sqref="N5:N31" xr:uid="{17075B0E-B816-463B-928F-ABC815968678}">
      <formula1>$N$5:$N$27</formula1>
    </dataValidation>
  </dataValidation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854A-97AD-4B58-88A4-0C7E7B5DC8FA}">
  <dimension ref="A1:L90"/>
  <sheetViews>
    <sheetView zoomScale="60" zoomScaleNormal="60" workbookViewId="0">
      <selection activeCell="D25" sqref="D25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31"/>
      <c r="B1" s="32"/>
      <c r="C1" s="31"/>
      <c r="D1" s="31"/>
      <c r="E1" s="31"/>
      <c r="F1" s="126" t="s">
        <v>36</v>
      </c>
      <c r="G1" s="127"/>
      <c r="H1" s="128"/>
      <c r="I1" s="129" t="s">
        <v>35</v>
      </c>
      <c r="J1" s="129"/>
      <c r="K1" s="129"/>
      <c r="L1" s="129"/>
    </row>
    <row r="2" spans="1:12" ht="25.5" x14ac:dyDescent="0.25">
      <c r="A2" s="34" t="s">
        <v>37</v>
      </c>
      <c r="B2" s="34" t="s">
        <v>38</v>
      </c>
      <c r="C2" s="35" t="s">
        <v>39</v>
      </c>
      <c r="D2" s="34" t="s">
        <v>40</v>
      </c>
      <c r="E2" s="34"/>
      <c r="F2" s="36" t="s">
        <v>41</v>
      </c>
      <c r="G2" s="36" t="s">
        <v>42</v>
      </c>
      <c r="H2" s="36" t="s">
        <v>43</v>
      </c>
      <c r="I2" s="37" t="s">
        <v>44</v>
      </c>
      <c r="J2" s="33" t="s">
        <v>42</v>
      </c>
      <c r="K2" s="33" t="s">
        <v>43</v>
      </c>
      <c r="L2" s="37" t="s">
        <v>45</v>
      </c>
    </row>
    <row r="3" spans="1:12" x14ac:dyDescent="0.25">
      <c r="A3" s="16">
        <v>1713418190</v>
      </c>
      <c r="B3" s="16" t="s">
        <v>46</v>
      </c>
      <c r="C3" s="16" t="s">
        <v>47</v>
      </c>
      <c r="D3" s="16" t="s">
        <v>47</v>
      </c>
      <c r="E3" s="16"/>
      <c r="F3" s="16">
        <v>128</v>
      </c>
      <c r="G3" s="16">
        <v>0</v>
      </c>
      <c r="H3" s="17">
        <v>19.999999999995453</v>
      </c>
      <c r="I3" s="17">
        <v>22</v>
      </c>
      <c r="J3" s="17">
        <v>3</v>
      </c>
      <c r="K3" s="17">
        <v>39.999999999936335</v>
      </c>
      <c r="L3" s="17">
        <v>30</v>
      </c>
    </row>
    <row r="4" spans="1:12" x14ac:dyDescent="0.25">
      <c r="A4" s="16">
        <v>1003241583</v>
      </c>
      <c r="B4" s="16" t="s">
        <v>48</v>
      </c>
      <c r="C4" s="16" t="s">
        <v>49</v>
      </c>
      <c r="D4" s="16" t="s">
        <v>49</v>
      </c>
      <c r="E4" s="16"/>
      <c r="F4" s="16">
        <v>144</v>
      </c>
      <c r="G4" s="16">
        <v>7</v>
      </c>
      <c r="H4" s="17">
        <v>14.000000000000909</v>
      </c>
      <c r="I4" s="17">
        <v>0</v>
      </c>
      <c r="J4" s="17">
        <v>6</v>
      </c>
      <c r="K4" s="17">
        <v>5.9999999999399733</v>
      </c>
      <c r="L4" s="17">
        <v>0</v>
      </c>
    </row>
    <row r="5" spans="1:12" x14ac:dyDescent="0.25">
      <c r="A5" s="16">
        <v>1713586129</v>
      </c>
      <c r="B5" s="16" t="s">
        <v>50</v>
      </c>
      <c r="C5" s="16" t="s">
        <v>47</v>
      </c>
      <c r="D5" s="16" t="s">
        <v>47</v>
      </c>
      <c r="E5" s="16"/>
      <c r="F5" s="16">
        <v>138</v>
      </c>
      <c r="G5" s="16">
        <v>2</v>
      </c>
      <c r="H5" s="17">
        <v>0.99999999999909051</v>
      </c>
      <c r="I5" s="17">
        <v>14</v>
      </c>
      <c r="J5" s="17">
        <v>5</v>
      </c>
      <c r="K5" s="17">
        <v>58.999999999932697</v>
      </c>
      <c r="L5" s="17">
        <v>19.09090909090909</v>
      </c>
    </row>
    <row r="6" spans="1:12" x14ac:dyDescent="0.25">
      <c r="A6" s="16">
        <v>1102049705</v>
      </c>
      <c r="B6" s="16" t="s">
        <v>51</v>
      </c>
      <c r="C6" s="16" t="s">
        <v>52</v>
      </c>
      <c r="D6" s="16" t="s">
        <v>52</v>
      </c>
      <c r="E6" s="16"/>
      <c r="F6" s="16">
        <v>141</v>
      </c>
      <c r="G6" s="16">
        <v>5</v>
      </c>
      <c r="H6" s="17">
        <v>56.000000000003638</v>
      </c>
      <c r="I6" s="17">
        <v>24</v>
      </c>
      <c r="J6" s="17">
        <v>2</v>
      </c>
      <c r="K6" s="17">
        <v>3.9999999999281499</v>
      </c>
      <c r="L6" s="17">
        <v>32.727272727272727</v>
      </c>
    </row>
    <row r="7" spans="1:12" x14ac:dyDescent="0.25">
      <c r="A7" s="16">
        <v>1705685657</v>
      </c>
      <c r="B7" s="16" t="s">
        <v>53</v>
      </c>
      <c r="C7" s="16" t="s">
        <v>54</v>
      </c>
      <c r="D7" s="16" t="s">
        <v>54</v>
      </c>
      <c r="E7" s="16"/>
      <c r="F7" s="16">
        <v>140</v>
      </c>
      <c r="G7" s="16">
        <v>7</v>
      </c>
      <c r="H7" s="17">
        <v>8.0000000000063665</v>
      </c>
      <c r="I7" s="17">
        <v>22</v>
      </c>
      <c r="J7" s="17">
        <v>7</v>
      </c>
      <c r="K7" s="17">
        <v>31.999999999916326</v>
      </c>
      <c r="L7" s="17">
        <v>30</v>
      </c>
    </row>
    <row r="8" spans="1:12" x14ac:dyDescent="0.25">
      <c r="A8" s="16">
        <v>1714728738</v>
      </c>
      <c r="B8" s="16" t="s">
        <v>55</v>
      </c>
      <c r="C8" s="16" t="s">
        <v>56</v>
      </c>
      <c r="D8" s="16" t="s">
        <v>49</v>
      </c>
      <c r="E8" s="16"/>
      <c r="F8" s="16">
        <v>148</v>
      </c>
      <c r="G8" s="16">
        <v>0</v>
      </c>
      <c r="H8" s="17">
        <v>30.999999999999091</v>
      </c>
      <c r="I8" s="17">
        <v>27</v>
      </c>
      <c r="J8" s="17">
        <v>2</v>
      </c>
      <c r="K8" s="17">
        <v>8.9999999999372449</v>
      </c>
      <c r="L8" s="17">
        <v>36.81818181818182</v>
      </c>
    </row>
    <row r="9" spans="1:12" x14ac:dyDescent="0.25">
      <c r="A9" s="16">
        <v>1719055830</v>
      </c>
      <c r="B9" s="16" t="s">
        <v>57</v>
      </c>
      <c r="C9" s="16" t="s">
        <v>56</v>
      </c>
      <c r="D9" s="16" t="s">
        <v>56</v>
      </c>
      <c r="E9" s="16"/>
      <c r="F9" s="16">
        <v>144</v>
      </c>
      <c r="G9" s="16">
        <v>5</v>
      </c>
      <c r="H9" s="17">
        <v>59.000000000000909</v>
      </c>
      <c r="I9" s="17">
        <v>7</v>
      </c>
      <c r="J9" s="17">
        <v>0</v>
      </c>
      <c r="K9" s="17">
        <v>40.999999999921783</v>
      </c>
      <c r="L9" s="17">
        <v>9.545454545454545</v>
      </c>
    </row>
    <row r="10" spans="1:12" x14ac:dyDescent="0.25">
      <c r="A10" s="16">
        <v>1717498396</v>
      </c>
      <c r="B10" s="16" t="s">
        <v>58</v>
      </c>
      <c r="C10" s="16" t="s">
        <v>59</v>
      </c>
      <c r="D10" s="16" t="s">
        <v>52</v>
      </c>
      <c r="E10" s="16"/>
      <c r="F10" s="16">
        <v>105</v>
      </c>
      <c r="G10" s="16">
        <v>0</v>
      </c>
      <c r="H10" s="17">
        <v>0</v>
      </c>
      <c r="I10" s="17">
        <v>35</v>
      </c>
      <c r="J10" s="17">
        <v>6</v>
      </c>
      <c r="K10" s="17">
        <v>39.999999999922693</v>
      </c>
      <c r="L10" s="17">
        <v>47.727272727272727</v>
      </c>
    </row>
    <row r="11" spans="1:12" x14ac:dyDescent="0.25">
      <c r="A11" s="16">
        <v>1711331668</v>
      </c>
      <c r="B11" s="16" t="s">
        <v>60</v>
      </c>
      <c r="C11" s="16" t="s">
        <v>61</v>
      </c>
      <c r="D11" s="16" t="s">
        <v>61</v>
      </c>
      <c r="E11" s="16"/>
      <c r="F11" s="16">
        <v>89</v>
      </c>
      <c r="G11" s="16">
        <v>3</v>
      </c>
      <c r="H11" s="16">
        <v>30.999999999999091</v>
      </c>
      <c r="I11" s="16">
        <v>4</v>
      </c>
      <c r="J11" s="16">
        <v>3</v>
      </c>
      <c r="K11" s="16">
        <v>8.9999999999577085</v>
      </c>
      <c r="L11" s="17">
        <v>5.4545454545454541</v>
      </c>
    </row>
    <row r="12" spans="1:12" x14ac:dyDescent="0.25">
      <c r="A12" s="16">
        <v>501692511</v>
      </c>
      <c r="B12" s="16" t="s">
        <v>27</v>
      </c>
      <c r="C12" s="16" t="s">
        <v>47</v>
      </c>
      <c r="D12" s="16" t="s">
        <v>47</v>
      </c>
      <c r="E12" s="16"/>
      <c r="F12" s="16">
        <v>109</v>
      </c>
      <c r="G12" s="16">
        <v>6</v>
      </c>
      <c r="H12" s="16">
        <v>30.999999999999091</v>
      </c>
      <c r="I12" s="16">
        <v>33</v>
      </c>
      <c r="J12" s="16">
        <v>2</v>
      </c>
      <c r="K12" s="16">
        <v>48.999999999941792</v>
      </c>
      <c r="L12" s="17">
        <v>45</v>
      </c>
    </row>
    <row r="13" spans="1:12" x14ac:dyDescent="0.25">
      <c r="A13" s="16">
        <v>1715594287</v>
      </c>
      <c r="B13" s="16" t="s">
        <v>62</v>
      </c>
      <c r="C13" s="16" t="s">
        <v>59</v>
      </c>
      <c r="D13" s="16" t="s">
        <v>63</v>
      </c>
      <c r="E13" s="16"/>
      <c r="F13" s="16">
        <v>112</v>
      </c>
      <c r="G13" s="16">
        <v>0</v>
      </c>
      <c r="H13" s="17">
        <v>4.0000000000031832</v>
      </c>
      <c r="I13" s="16">
        <v>30</v>
      </c>
      <c r="J13" s="16">
        <v>6</v>
      </c>
      <c r="K13" s="17">
        <v>0</v>
      </c>
      <c r="L13" s="17">
        <v>40.909090909090907</v>
      </c>
    </row>
    <row r="14" spans="1:12" x14ac:dyDescent="0.25">
      <c r="A14" s="16">
        <v>401075031</v>
      </c>
      <c r="B14" s="16" t="s">
        <v>64</v>
      </c>
      <c r="C14" s="16" t="s">
        <v>65</v>
      </c>
      <c r="D14" s="16" t="s">
        <v>66</v>
      </c>
      <c r="E14" s="16"/>
      <c r="F14" s="16">
        <v>137</v>
      </c>
      <c r="G14" s="16">
        <v>5</v>
      </c>
      <c r="H14" s="16">
        <v>16.999999999998181</v>
      </c>
      <c r="I14" s="16">
        <v>31</v>
      </c>
      <c r="J14" s="16">
        <v>5</v>
      </c>
      <c r="K14" s="17">
        <v>22.999999999938154</v>
      </c>
      <c r="L14" s="17">
        <v>42.272727272727273</v>
      </c>
    </row>
    <row r="15" spans="1:12" x14ac:dyDescent="0.25">
      <c r="A15" s="16">
        <v>502811573</v>
      </c>
      <c r="B15" s="16" t="s">
        <v>67</v>
      </c>
      <c r="C15" s="16" t="s">
        <v>54</v>
      </c>
      <c r="D15" s="16" t="s">
        <v>52</v>
      </c>
      <c r="E15" s="16"/>
      <c r="F15" s="16">
        <v>132</v>
      </c>
      <c r="G15" s="16">
        <v>3</v>
      </c>
      <c r="H15" s="16">
        <v>0</v>
      </c>
      <c r="I15" s="16">
        <v>33</v>
      </c>
      <c r="J15" s="16">
        <v>7</v>
      </c>
      <c r="K15" s="16">
        <v>39.999999999936335</v>
      </c>
      <c r="L15" s="17">
        <v>45</v>
      </c>
    </row>
    <row r="16" spans="1:12" x14ac:dyDescent="0.25">
      <c r="A16" s="16">
        <v>1713044236</v>
      </c>
      <c r="B16" s="16" t="s">
        <v>68</v>
      </c>
      <c r="C16" s="16" t="s">
        <v>47</v>
      </c>
      <c r="D16" s="16" t="s">
        <v>47</v>
      </c>
      <c r="E16" s="16"/>
      <c r="F16" s="16">
        <v>99</v>
      </c>
      <c r="G16" s="16">
        <v>3</v>
      </c>
      <c r="H16" s="16">
        <v>0</v>
      </c>
      <c r="I16" s="16">
        <v>36</v>
      </c>
      <c r="J16" s="16">
        <v>0</v>
      </c>
      <c r="K16" s="16">
        <v>59.99999999994543</v>
      </c>
      <c r="L16" s="17">
        <v>49.090909090909093</v>
      </c>
    </row>
    <row r="17" spans="1:12" x14ac:dyDescent="0.25">
      <c r="A17" s="16">
        <v>1725648545</v>
      </c>
      <c r="B17" s="16" t="s">
        <v>69</v>
      </c>
      <c r="C17" s="16" t="s">
        <v>70</v>
      </c>
      <c r="D17" s="16" t="s">
        <v>70</v>
      </c>
      <c r="E17" s="16"/>
      <c r="F17" s="16">
        <v>79</v>
      </c>
      <c r="G17" s="16">
        <v>1</v>
      </c>
      <c r="H17" s="16">
        <v>20.000000000002274</v>
      </c>
      <c r="I17" s="16">
        <v>38</v>
      </c>
      <c r="J17" s="16">
        <v>1</v>
      </c>
      <c r="K17" s="16">
        <v>19.99999999992724</v>
      </c>
      <c r="L17" s="17">
        <v>51.81818181818182</v>
      </c>
    </row>
    <row r="18" spans="1:12" x14ac:dyDescent="0.25">
      <c r="A18" s="18">
        <v>1714505433</v>
      </c>
      <c r="B18" s="18" t="s">
        <v>71</v>
      </c>
      <c r="C18" s="18" t="s">
        <v>70</v>
      </c>
      <c r="D18" s="18" t="s">
        <v>70</v>
      </c>
      <c r="E18" s="18"/>
      <c r="F18" s="18">
        <v>154</v>
      </c>
      <c r="G18" s="18">
        <v>0</v>
      </c>
      <c r="H18" s="18">
        <v>20.999999999994543</v>
      </c>
      <c r="I18" s="18">
        <v>24</v>
      </c>
      <c r="J18" s="18">
        <v>7</v>
      </c>
      <c r="K18" s="18">
        <v>38.999999999937245</v>
      </c>
      <c r="L18" s="19">
        <v>32.727272727272727</v>
      </c>
    </row>
    <row r="19" spans="1:12" x14ac:dyDescent="0.25">
      <c r="A19" s="18">
        <v>1722750559</v>
      </c>
      <c r="B19" s="18" t="s">
        <v>72</v>
      </c>
      <c r="C19" s="16" t="s">
        <v>59</v>
      </c>
      <c r="D19" s="16" t="s">
        <v>52</v>
      </c>
      <c r="E19" s="16"/>
      <c r="F19" s="18">
        <v>148</v>
      </c>
      <c r="G19" s="18">
        <v>4</v>
      </c>
      <c r="H19" s="18">
        <v>21.999999999993634</v>
      </c>
      <c r="I19" s="18">
        <v>26</v>
      </c>
      <c r="J19" s="18">
        <v>3</v>
      </c>
      <c r="K19" s="18">
        <v>37.999999999924512</v>
      </c>
      <c r="L19" s="19">
        <v>35.454545454545453</v>
      </c>
    </row>
    <row r="20" spans="1:12" x14ac:dyDescent="0.25">
      <c r="A20" s="16">
        <v>1720496791</v>
      </c>
      <c r="B20" s="16" t="s">
        <v>73</v>
      </c>
      <c r="C20" s="16" t="s">
        <v>74</v>
      </c>
      <c r="D20" s="16" t="s">
        <v>75</v>
      </c>
      <c r="E20" s="16"/>
      <c r="F20" s="16">
        <v>108</v>
      </c>
      <c r="G20" s="16">
        <v>1</v>
      </c>
      <c r="H20" s="16">
        <v>23.999999999998636</v>
      </c>
      <c r="I20" s="16">
        <v>26</v>
      </c>
      <c r="J20" s="16">
        <v>2</v>
      </c>
      <c r="K20" s="16">
        <v>35.99999999991951</v>
      </c>
      <c r="L20" s="17">
        <v>35.454545454545453</v>
      </c>
    </row>
    <row r="21" spans="1:12" x14ac:dyDescent="0.25">
      <c r="A21" s="16">
        <v>1103992416</v>
      </c>
      <c r="B21" s="16" t="s">
        <v>76</v>
      </c>
      <c r="C21" s="16" t="s">
        <v>49</v>
      </c>
      <c r="D21" s="16" t="s">
        <v>52</v>
      </c>
      <c r="E21" s="16"/>
      <c r="F21" s="16">
        <v>137</v>
      </c>
      <c r="G21" s="16">
        <v>7</v>
      </c>
      <c r="H21" s="17">
        <v>0</v>
      </c>
      <c r="I21" s="16">
        <v>19</v>
      </c>
      <c r="J21" s="16">
        <v>6</v>
      </c>
      <c r="K21" s="17">
        <v>19.99999999992724</v>
      </c>
      <c r="L21" s="17">
        <v>25.90909090909091</v>
      </c>
    </row>
    <row r="22" spans="1:12" x14ac:dyDescent="0.25">
      <c r="A22" s="16">
        <v>401030523</v>
      </c>
      <c r="B22" s="16" t="s">
        <v>77</v>
      </c>
      <c r="C22" s="16" t="s">
        <v>74</v>
      </c>
      <c r="D22" s="16" t="s">
        <v>74</v>
      </c>
      <c r="E22" s="16"/>
      <c r="F22" s="16">
        <v>116</v>
      </c>
      <c r="G22" s="16">
        <v>1</v>
      </c>
      <c r="H22" s="16">
        <v>13.000000000001819</v>
      </c>
      <c r="I22" s="16">
        <v>21</v>
      </c>
      <c r="J22" s="16">
        <v>6</v>
      </c>
      <c r="K22" s="16">
        <v>46.999999999929969</v>
      </c>
      <c r="L22" s="17">
        <v>28.636363636363637</v>
      </c>
    </row>
    <row r="23" spans="1:12" x14ac:dyDescent="0.25">
      <c r="A23" s="16">
        <v>1802921617</v>
      </c>
      <c r="B23" s="16" t="s">
        <v>78</v>
      </c>
      <c r="C23" s="16" t="s">
        <v>59</v>
      </c>
      <c r="D23" s="16" t="s">
        <v>59</v>
      </c>
      <c r="E23" s="16"/>
      <c r="F23" s="16">
        <v>128</v>
      </c>
      <c r="G23" s="16">
        <v>128</v>
      </c>
      <c r="H23" s="16">
        <v>128</v>
      </c>
      <c r="I23" s="16">
        <v>12</v>
      </c>
      <c r="J23" s="16">
        <v>5</v>
      </c>
      <c r="K23" s="16">
        <v>1.9999999999163265</v>
      </c>
      <c r="L23" s="17">
        <v>16.363636363636363</v>
      </c>
    </row>
    <row r="24" spans="1:12" x14ac:dyDescent="0.25">
      <c r="A24" s="16">
        <v>801553215</v>
      </c>
      <c r="B24" s="16" t="s">
        <v>79</v>
      </c>
      <c r="C24" s="16" t="s">
        <v>70</v>
      </c>
      <c r="D24" s="16" t="s">
        <v>70</v>
      </c>
      <c r="E24" s="16"/>
      <c r="F24" s="16">
        <v>133</v>
      </c>
      <c r="G24" s="16">
        <v>5</v>
      </c>
      <c r="H24" s="16">
        <v>14.000000000000909</v>
      </c>
      <c r="I24" s="16">
        <v>24</v>
      </c>
      <c r="J24" s="16">
        <v>2</v>
      </c>
      <c r="K24" s="16">
        <v>45.999999999930878</v>
      </c>
      <c r="L24" s="17">
        <v>32.727272727272727</v>
      </c>
    </row>
    <row r="25" spans="1:12" x14ac:dyDescent="0.25">
      <c r="A25" s="16">
        <v>1724351406</v>
      </c>
      <c r="B25" s="16" t="s">
        <v>80</v>
      </c>
      <c r="C25" s="16" t="s">
        <v>47</v>
      </c>
      <c r="D25" s="16" t="s">
        <v>47</v>
      </c>
      <c r="E25" s="16"/>
      <c r="F25" s="16">
        <v>129</v>
      </c>
      <c r="G25" s="16">
        <v>5</v>
      </c>
      <c r="H25" s="16">
        <v>42.000000000002728</v>
      </c>
      <c r="I25" s="16">
        <v>14</v>
      </c>
      <c r="J25" s="16">
        <v>3</v>
      </c>
      <c r="K25" s="16">
        <v>37.999999999883585</v>
      </c>
      <c r="L25" s="17">
        <v>19.09090909090909</v>
      </c>
    </row>
    <row r="26" spans="1:12" x14ac:dyDescent="0.25">
      <c r="A26" s="16">
        <v>1712911468</v>
      </c>
      <c r="B26" s="16" t="s">
        <v>81</v>
      </c>
      <c r="C26" s="16" t="s">
        <v>52</v>
      </c>
      <c r="D26" s="16" t="s">
        <v>52</v>
      </c>
      <c r="E26" s="16"/>
      <c r="F26" s="16">
        <v>157</v>
      </c>
      <c r="G26" s="16">
        <v>7</v>
      </c>
      <c r="H26" s="16">
        <v>24.000000000005457</v>
      </c>
      <c r="I26" s="16">
        <v>20</v>
      </c>
      <c r="J26" s="16">
        <v>1</v>
      </c>
      <c r="K26" s="16">
        <v>55.999999999880856</v>
      </c>
      <c r="L26" s="17">
        <v>27.272727272727273</v>
      </c>
    </row>
    <row r="27" spans="1:12" x14ac:dyDescent="0.25">
      <c r="A27" s="16">
        <v>1712610953</v>
      </c>
      <c r="B27" s="16" t="s">
        <v>82</v>
      </c>
      <c r="C27" s="16" t="s">
        <v>47</v>
      </c>
      <c r="D27" s="16" t="s">
        <v>47</v>
      </c>
      <c r="E27" s="16"/>
      <c r="F27" s="16">
        <v>123</v>
      </c>
      <c r="G27" s="16">
        <v>2</v>
      </c>
      <c r="H27" s="16">
        <v>15</v>
      </c>
      <c r="I27" s="16">
        <v>19</v>
      </c>
      <c r="J27" s="16">
        <v>7</v>
      </c>
      <c r="K27" s="16">
        <v>4.9999999999272404</v>
      </c>
      <c r="L27" s="17">
        <v>25.90909090909091</v>
      </c>
    </row>
    <row r="28" spans="1:12" x14ac:dyDescent="0.25">
      <c r="A28" s="16">
        <v>1713427548</v>
      </c>
      <c r="B28" s="16" t="s">
        <v>83</v>
      </c>
      <c r="C28" s="16" t="s">
        <v>74</v>
      </c>
      <c r="D28" s="16" t="s">
        <v>74</v>
      </c>
      <c r="E28" s="16"/>
      <c r="F28" s="16">
        <v>102</v>
      </c>
      <c r="G28" s="16">
        <v>4</v>
      </c>
      <c r="H28" s="16">
        <v>36.000000000001364</v>
      </c>
      <c r="I28" s="16">
        <v>33</v>
      </c>
      <c r="J28" s="16">
        <v>4</v>
      </c>
      <c r="K28" s="16">
        <v>43.999999999925876</v>
      </c>
      <c r="L28" s="17">
        <v>45</v>
      </c>
    </row>
    <row r="29" spans="1:12" x14ac:dyDescent="0.25">
      <c r="A29" s="16">
        <v>1720669561</v>
      </c>
      <c r="B29" s="16" t="s">
        <v>84</v>
      </c>
      <c r="C29" s="16" t="s">
        <v>47</v>
      </c>
      <c r="D29" s="16" t="s">
        <v>47</v>
      </c>
      <c r="E29" s="16"/>
      <c r="F29" s="16">
        <v>142</v>
      </c>
      <c r="G29" s="16">
        <v>6</v>
      </c>
      <c r="H29" s="16">
        <v>48.999999999996362</v>
      </c>
      <c r="I29" s="16">
        <v>11</v>
      </c>
      <c r="J29" s="16">
        <v>1</v>
      </c>
      <c r="K29" s="16">
        <v>10.999999999935426</v>
      </c>
      <c r="L29" s="17">
        <v>15</v>
      </c>
    </row>
    <row r="30" spans="1:12" x14ac:dyDescent="0.25">
      <c r="A30" s="16">
        <v>401077276</v>
      </c>
      <c r="B30" s="16" t="s">
        <v>85</v>
      </c>
      <c r="C30" s="16" t="s">
        <v>86</v>
      </c>
      <c r="D30" s="16" t="s">
        <v>52</v>
      </c>
      <c r="E30" s="16"/>
      <c r="F30" s="16">
        <v>134</v>
      </c>
      <c r="G30" s="16">
        <v>5</v>
      </c>
      <c r="H30" s="17">
        <v>40.000000000004547</v>
      </c>
      <c r="I30" s="16">
        <v>10</v>
      </c>
      <c r="J30" s="16">
        <v>0</v>
      </c>
      <c r="K30" s="17">
        <v>59.999999999931788</v>
      </c>
      <c r="L30" s="17">
        <v>13.636363636363637</v>
      </c>
    </row>
    <row r="31" spans="1:12" x14ac:dyDescent="0.25">
      <c r="A31" s="16">
        <v>801780479</v>
      </c>
      <c r="B31" s="16" t="s">
        <v>87</v>
      </c>
      <c r="C31" s="16" t="s">
        <v>86</v>
      </c>
      <c r="D31" s="16" t="s">
        <v>86</v>
      </c>
      <c r="E31" s="16"/>
      <c r="F31" s="16">
        <v>101</v>
      </c>
      <c r="G31" s="16">
        <v>5</v>
      </c>
      <c r="H31" s="16">
        <v>52.000000000000455</v>
      </c>
      <c r="I31" s="16">
        <v>39</v>
      </c>
      <c r="J31" s="16">
        <v>2</v>
      </c>
      <c r="K31" s="16">
        <v>7.9999999999176907</v>
      </c>
      <c r="L31" s="17">
        <v>53.18181818181818</v>
      </c>
    </row>
    <row r="32" spans="1:12" x14ac:dyDescent="0.25">
      <c r="A32" s="16">
        <v>501879373</v>
      </c>
      <c r="B32" s="16" t="s">
        <v>88</v>
      </c>
      <c r="C32" s="16" t="s">
        <v>56</v>
      </c>
      <c r="D32" s="16" t="s">
        <v>56</v>
      </c>
      <c r="E32" s="16"/>
      <c r="F32" s="16">
        <v>134</v>
      </c>
      <c r="G32" s="16">
        <v>7</v>
      </c>
      <c r="H32" s="16">
        <v>46.999999999998181</v>
      </c>
      <c r="I32" s="16">
        <v>16</v>
      </c>
      <c r="J32" s="16">
        <v>0</v>
      </c>
      <c r="K32" s="16">
        <v>12.999999999906322</v>
      </c>
      <c r="L32" s="17">
        <v>21.818181818181817</v>
      </c>
    </row>
    <row r="33" spans="1:12" x14ac:dyDescent="0.25">
      <c r="A33" s="16">
        <v>603200544</v>
      </c>
      <c r="B33" s="16" t="s">
        <v>89</v>
      </c>
      <c r="C33" s="16" t="s">
        <v>54</v>
      </c>
      <c r="D33" s="16" t="s">
        <v>54</v>
      </c>
      <c r="E33" s="16"/>
      <c r="F33" s="16">
        <v>125</v>
      </c>
      <c r="G33" s="16">
        <v>4</v>
      </c>
      <c r="H33" s="17">
        <v>39.999999999997726</v>
      </c>
      <c r="I33" s="16">
        <v>7</v>
      </c>
      <c r="J33" s="16">
        <v>1</v>
      </c>
      <c r="K33" s="17">
        <v>59.999999999924967</v>
      </c>
      <c r="L33" s="17">
        <v>9.545454545454545</v>
      </c>
    </row>
    <row r="34" spans="1:12" x14ac:dyDescent="0.25">
      <c r="A34" s="16">
        <v>703331702</v>
      </c>
      <c r="B34" s="16" t="s">
        <v>90</v>
      </c>
      <c r="C34" s="16" t="s">
        <v>61</v>
      </c>
      <c r="D34" s="16" t="s">
        <v>61</v>
      </c>
      <c r="E34" s="16"/>
      <c r="F34" s="16">
        <v>106</v>
      </c>
      <c r="G34" s="16">
        <v>0</v>
      </c>
      <c r="H34" s="16">
        <v>32.999999999997272</v>
      </c>
      <c r="I34" s="16">
        <v>44</v>
      </c>
      <c r="J34" s="16">
        <v>2</v>
      </c>
      <c r="K34" s="16">
        <v>6.9999999999390639</v>
      </c>
      <c r="L34" s="17">
        <v>60</v>
      </c>
    </row>
    <row r="35" spans="1:12" x14ac:dyDescent="0.25">
      <c r="A35" s="16">
        <v>1717608903</v>
      </c>
      <c r="B35" s="16" t="s">
        <v>91</v>
      </c>
      <c r="C35" s="16" t="s">
        <v>92</v>
      </c>
      <c r="D35" s="16" t="s">
        <v>92</v>
      </c>
      <c r="E35" s="16"/>
      <c r="F35" s="16">
        <v>103</v>
      </c>
      <c r="G35" s="16">
        <v>5</v>
      </c>
      <c r="H35" s="16">
        <v>45</v>
      </c>
      <c r="I35" s="16">
        <v>39</v>
      </c>
      <c r="J35" s="16">
        <v>0</v>
      </c>
      <c r="K35" s="16">
        <v>54.999999999936335</v>
      </c>
      <c r="L35" s="17">
        <v>53.18181818181818</v>
      </c>
    </row>
    <row r="36" spans="1:12" x14ac:dyDescent="0.25">
      <c r="A36" s="16">
        <v>1716068398</v>
      </c>
      <c r="B36" s="16" t="s">
        <v>93</v>
      </c>
      <c r="C36" s="16" t="s">
        <v>63</v>
      </c>
      <c r="D36" s="16" t="s">
        <v>52</v>
      </c>
      <c r="E36" s="16"/>
      <c r="F36" s="16">
        <v>126</v>
      </c>
      <c r="G36" s="16">
        <v>4</v>
      </c>
      <c r="H36" s="16">
        <v>45.999999999999091</v>
      </c>
      <c r="I36" s="16">
        <v>32</v>
      </c>
      <c r="J36" s="16">
        <v>4</v>
      </c>
      <c r="K36" s="16">
        <v>33.99999999992815</v>
      </c>
      <c r="L36" s="17">
        <v>43.636363636363633</v>
      </c>
    </row>
    <row r="37" spans="1:12" x14ac:dyDescent="0.25">
      <c r="A37" s="16">
        <v>1714014055</v>
      </c>
      <c r="B37" s="16" t="s">
        <v>94</v>
      </c>
      <c r="C37" s="16" t="s">
        <v>47</v>
      </c>
      <c r="D37" s="16" t="s">
        <v>47</v>
      </c>
      <c r="E37" s="16"/>
      <c r="F37" s="16">
        <v>118</v>
      </c>
      <c r="G37" s="16">
        <v>0</v>
      </c>
      <c r="H37" s="16">
        <v>21.000000000001364</v>
      </c>
      <c r="I37" s="16">
        <v>17</v>
      </c>
      <c r="J37" s="16">
        <v>7</v>
      </c>
      <c r="K37" s="16">
        <v>38.999999999930424</v>
      </c>
      <c r="L37" s="17">
        <v>23.181818181818183</v>
      </c>
    </row>
    <row r="38" spans="1:12" x14ac:dyDescent="0.25">
      <c r="A38" s="16">
        <v>1707980551</v>
      </c>
      <c r="B38" s="16" t="s">
        <v>95</v>
      </c>
      <c r="C38" s="16" t="s">
        <v>74</v>
      </c>
      <c r="D38" s="16" t="s">
        <v>70</v>
      </c>
      <c r="E38" s="16"/>
      <c r="F38" s="16">
        <v>146</v>
      </c>
      <c r="G38" s="16">
        <v>0</v>
      </c>
      <c r="H38" s="17">
        <v>45</v>
      </c>
      <c r="I38" s="16">
        <v>2</v>
      </c>
      <c r="J38" s="16">
        <v>0</v>
      </c>
      <c r="K38" s="17">
        <v>34.99999999992724</v>
      </c>
      <c r="L38" s="17">
        <v>2.7272727272727271</v>
      </c>
    </row>
    <row r="39" spans="1:12" x14ac:dyDescent="0.25">
      <c r="A39" s="16">
        <v>1307867034</v>
      </c>
      <c r="B39" s="16" t="s">
        <v>96</v>
      </c>
      <c r="C39" s="16" t="s">
        <v>52</v>
      </c>
      <c r="D39" s="16" t="s">
        <v>63</v>
      </c>
      <c r="E39" s="16"/>
      <c r="F39" s="16">
        <v>138</v>
      </c>
      <c r="G39" s="16">
        <v>6</v>
      </c>
      <c r="H39" s="16">
        <v>33.999999999996362</v>
      </c>
      <c r="I39" s="16">
        <v>28</v>
      </c>
      <c r="J39" s="16">
        <v>5</v>
      </c>
      <c r="K39" s="16">
        <v>25.999999999935426</v>
      </c>
      <c r="L39" s="17">
        <v>38.18181818181818</v>
      </c>
    </row>
    <row r="40" spans="1:12" x14ac:dyDescent="0.25">
      <c r="A40" s="16">
        <v>1716936529</v>
      </c>
      <c r="B40" s="16" t="s">
        <v>97</v>
      </c>
      <c r="C40" s="16" t="s">
        <v>86</v>
      </c>
      <c r="D40" s="16" t="s">
        <v>86</v>
      </c>
      <c r="E40" s="16"/>
      <c r="F40" s="16">
        <v>150</v>
      </c>
      <c r="G40" s="16">
        <v>6</v>
      </c>
      <c r="H40" s="16">
        <v>59.000000000000909</v>
      </c>
      <c r="I40" s="16">
        <v>6</v>
      </c>
      <c r="J40" s="16">
        <v>3</v>
      </c>
      <c r="K40" s="16">
        <v>40.999999999935426</v>
      </c>
      <c r="L40" s="17">
        <v>8.1818181818181817</v>
      </c>
    </row>
    <row r="41" spans="1:12" x14ac:dyDescent="0.25">
      <c r="A41" s="16">
        <v>1600325292</v>
      </c>
      <c r="B41" s="16" t="s">
        <v>98</v>
      </c>
      <c r="C41" s="16" t="s">
        <v>47</v>
      </c>
      <c r="D41" s="16" t="s">
        <v>47</v>
      </c>
      <c r="E41" s="16"/>
      <c r="F41" s="16">
        <v>93</v>
      </c>
      <c r="G41" s="16">
        <v>7</v>
      </c>
      <c r="H41" s="17">
        <v>16.999999999998181</v>
      </c>
      <c r="I41" s="16">
        <v>27</v>
      </c>
      <c r="J41" s="16">
        <v>2</v>
      </c>
      <c r="K41" s="17">
        <v>2.9999999999427018</v>
      </c>
      <c r="L41" s="17">
        <v>36.81818181818182</v>
      </c>
    </row>
    <row r="42" spans="1:12" x14ac:dyDescent="0.25">
      <c r="A42" s="16">
        <v>1500871478</v>
      </c>
      <c r="B42" s="16" t="s">
        <v>99</v>
      </c>
      <c r="C42" s="16" t="s">
        <v>92</v>
      </c>
      <c r="D42" s="16" t="s">
        <v>92</v>
      </c>
      <c r="E42" s="16"/>
      <c r="F42" s="16">
        <v>107</v>
      </c>
      <c r="G42" s="16">
        <v>3</v>
      </c>
      <c r="H42" s="16">
        <v>15.166666666664241</v>
      </c>
      <c r="I42" s="16">
        <v>25</v>
      </c>
      <c r="J42" s="16">
        <v>4</v>
      </c>
      <c r="K42" s="16">
        <v>44.833333333267547</v>
      </c>
      <c r="L42" s="17">
        <v>34.090909090909093</v>
      </c>
    </row>
    <row r="43" spans="1:12" x14ac:dyDescent="0.25">
      <c r="A43" s="16">
        <v>704159847</v>
      </c>
      <c r="B43" s="16" t="s">
        <v>100</v>
      </c>
      <c r="C43" s="16" t="s">
        <v>61</v>
      </c>
      <c r="D43" s="16" t="s">
        <v>61</v>
      </c>
      <c r="E43" s="16"/>
      <c r="F43" s="16">
        <v>121</v>
      </c>
      <c r="G43" s="16">
        <v>6</v>
      </c>
      <c r="H43" s="16">
        <v>43.000000000001819</v>
      </c>
      <c r="I43" s="16">
        <v>26</v>
      </c>
      <c r="J43" s="16">
        <v>7</v>
      </c>
      <c r="K43" s="16">
        <v>56.999999999920874</v>
      </c>
      <c r="L43" s="17">
        <v>35.454545454545453</v>
      </c>
    </row>
    <row r="44" spans="1:12" x14ac:dyDescent="0.25">
      <c r="A44" s="16">
        <v>1713851416</v>
      </c>
      <c r="B44" s="16" t="s">
        <v>101</v>
      </c>
      <c r="C44" s="16" t="s">
        <v>47</v>
      </c>
      <c r="D44" s="16" t="s">
        <v>47</v>
      </c>
      <c r="E44" s="16"/>
      <c r="F44" s="16">
        <v>143</v>
      </c>
      <c r="G44" s="16">
        <v>6</v>
      </c>
      <c r="H44" s="16">
        <v>20.093750000000909</v>
      </c>
      <c r="I44" s="16">
        <v>4</v>
      </c>
      <c r="J44" s="16">
        <v>1</v>
      </c>
      <c r="K44" s="16">
        <v>39.906249999930878</v>
      </c>
      <c r="L44" s="17">
        <v>5.4545454545454541</v>
      </c>
    </row>
    <row r="45" spans="1:12" x14ac:dyDescent="0.25">
      <c r="A45" s="16">
        <v>704704832</v>
      </c>
      <c r="B45" s="16" t="s">
        <v>102</v>
      </c>
      <c r="C45" s="16" t="s">
        <v>56</v>
      </c>
      <c r="D45" s="16" t="s">
        <v>56</v>
      </c>
      <c r="E45" s="16"/>
      <c r="F45" s="16">
        <v>112</v>
      </c>
      <c r="G45" s="16">
        <v>3</v>
      </c>
      <c r="H45" s="16">
        <v>53.999999999998636</v>
      </c>
      <c r="I45" s="16">
        <v>19</v>
      </c>
      <c r="J45" s="16">
        <v>2</v>
      </c>
      <c r="K45" s="16">
        <v>45.999999999951342</v>
      </c>
      <c r="L45" s="17">
        <v>25.90909090909091</v>
      </c>
    </row>
    <row r="46" spans="1:12" x14ac:dyDescent="0.25">
      <c r="A46" s="16">
        <v>202012209</v>
      </c>
      <c r="B46" s="16" t="s">
        <v>103</v>
      </c>
      <c r="C46" s="16" t="s">
        <v>47</v>
      </c>
      <c r="D46" s="16" t="s">
        <v>47</v>
      </c>
      <c r="E46" s="16"/>
      <c r="F46" s="16">
        <v>90</v>
      </c>
      <c r="G46" s="16">
        <v>0</v>
      </c>
      <c r="H46" s="16">
        <v>23.999999999998636</v>
      </c>
      <c r="I46" s="16">
        <v>27</v>
      </c>
      <c r="J46" s="16">
        <v>3</v>
      </c>
      <c r="K46" s="16">
        <v>33.695999978874625</v>
      </c>
      <c r="L46" s="17">
        <v>36.81818181818182</v>
      </c>
    </row>
    <row r="47" spans="1:12" x14ac:dyDescent="0.25">
      <c r="A47" s="16">
        <v>201846219</v>
      </c>
      <c r="B47" s="16" t="s">
        <v>104</v>
      </c>
      <c r="C47" s="16" t="s">
        <v>47</v>
      </c>
      <c r="D47" s="16" t="s">
        <v>47</v>
      </c>
      <c r="E47" s="16"/>
      <c r="F47" s="16">
        <v>88</v>
      </c>
      <c r="G47" s="16">
        <v>4</v>
      </c>
      <c r="H47" s="16">
        <v>0</v>
      </c>
      <c r="I47" s="16">
        <v>30</v>
      </c>
      <c r="J47" s="16">
        <v>7</v>
      </c>
      <c r="K47" s="16">
        <v>57.69599997887326</v>
      </c>
      <c r="L47" s="17">
        <v>40.909090909090907</v>
      </c>
    </row>
    <row r="48" spans="1:12" x14ac:dyDescent="0.25">
      <c r="A48" s="16">
        <v>1711450377</v>
      </c>
      <c r="B48" s="16" t="s">
        <v>105</v>
      </c>
      <c r="C48" s="16" t="s">
        <v>47</v>
      </c>
      <c r="D48" s="16" t="s">
        <v>47</v>
      </c>
      <c r="E48" s="16"/>
      <c r="F48" s="16">
        <v>141</v>
      </c>
      <c r="G48" s="16">
        <v>2</v>
      </c>
      <c r="H48" s="16">
        <v>53.000000000006366</v>
      </c>
      <c r="I48" s="16">
        <v>18</v>
      </c>
      <c r="J48" s="16">
        <v>2</v>
      </c>
      <c r="K48" s="17">
        <v>26.999999999907232</v>
      </c>
      <c r="L48" s="17">
        <v>24.545454545454547</v>
      </c>
    </row>
    <row r="49" spans="1:12" x14ac:dyDescent="0.25">
      <c r="A49" s="16">
        <v>1708887136</v>
      </c>
      <c r="B49" s="16" t="s">
        <v>106</v>
      </c>
      <c r="C49" s="16" t="s">
        <v>47</v>
      </c>
      <c r="D49" s="16" t="s">
        <v>47</v>
      </c>
      <c r="E49" s="16"/>
      <c r="F49" s="16">
        <v>100</v>
      </c>
      <c r="G49" s="16">
        <v>1</v>
      </c>
      <c r="H49" s="16">
        <v>0</v>
      </c>
      <c r="I49" s="16">
        <v>11</v>
      </c>
      <c r="J49" s="16">
        <v>2</v>
      </c>
      <c r="K49" s="17">
        <v>57.695999978886903</v>
      </c>
      <c r="L49" s="17">
        <v>15</v>
      </c>
    </row>
    <row r="50" spans="1:12" x14ac:dyDescent="0.25">
      <c r="A50" s="16">
        <v>1103003107</v>
      </c>
      <c r="B50" s="16" t="s">
        <v>107</v>
      </c>
      <c r="C50" s="16" t="s">
        <v>47</v>
      </c>
      <c r="D50" s="16" t="s">
        <v>47</v>
      </c>
      <c r="E50" s="16"/>
      <c r="F50" s="16">
        <v>113</v>
      </c>
      <c r="G50" s="16">
        <v>0</v>
      </c>
      <c r="H50" s="16">
        <v>15</v>
      </c>
      <c r="I50" s="16">
        <v>4</v>
      </c>
      <c r="J50" s="16">
        <v>3</v>
      </c>
      <c r="K50" s="17">
        <v>42.69599997887326</v>
      </c>
      <c r="L50" s="17">
        <v>5.4545454545454541</v>
      </c>
    </row>
    <row r="51" spans="1:12" x14ac:dyDescent="0.25">
      <c r="A51" s="16">
        <v>1716592017</v>
      </c>
      <c r="B51" s="16" t="s">
        <v>108</v>
      </c>
      <c r="C51" s="16" t="s">
        <v>47</v>
      </c>
      <c r="D51" s="16" t="s">
        <v>47</v>
      </c>
      <c r="E51" s="16"/>
      <c r="F51" s="16">
        <v>71</v>
      </c>
      <c r="G51" s="16">
        <v>4</v>
      </c>
      <c r="H51" s="16">
        <v>0</v>
      </c>
      <c r="I51" s="16">
        <v>42</v>
      </c>
      <c r="J51" s="16">
        <v>3</v>
      </c>
      <c r="K51" s="17">
        <v>54.23999998719637</v>
      </c>
      <c r="L51" s="17">
        <v>57.272727272727273</v>
      </c>
    </row>
    <row r="52" spans="1:12" x14ac:dyDescent="0.25">
      <c r="A52" s="16">
        <v>503063000</v>
      </c>
      <c r="B52" s="16" t="s">
        <v>109</v>
      </c>
      <c r="C52" s="16" t="s">
        <v>47</v>
      </c>
      <c r="D52" s="16" t="s">
        <v>47</v>
      </c>
      <c r="E52" s="16"/>
      <c r="F52" s="16">
        <v>92</v>
      </c>
      <c r="G52" s="16">
        <v>4</v>
      </c>
      <c r="H52" s="16">
        <v>21.000000000001364</v>
      </c>
      <c r="I52" s="16">
        <v>25</v>
      </c>
      <c r="J52" s="16">
        <v>4</v>
      </c>
      <c r="K52" s="17">
        <v>58.999999999925876</v>
      </c>
      <c r="L52" s="17">
        <v>34.090909090909093</v>
      </c>
    </row>
    <row r="53" spans="1:12" x14ac:dyDescent="0.25">
      <c r="A53" s="16">
        <v>1712593225</v>
      </c>
      <c r="B53" s="16" t="s">
        <v>110</v>
      </c>
      <c r="C53" s="16" t="s">
        <v>52</v>
      </c>
      <c r="D53" s="16" t="s">
        <v>52</v>
      </c>
      <c r="E53" s="16"/>
      <c r="F53" s="16">
        <v>40</v>
      </c>
      <c r="G53" s="16">
        <v>5</v>
      </c>
      <c r="H53" s="16">
        <v>3.0000000000006821</v>
      </c>
      <c r="I53" s="16">
        <v>32</v>
      </c>
      <c r="J53" s="16">
        <v>4</v>
      </c>
      <c r="K53" s="17">
        <v>16.999999999953843</v>
      </c>
      <c r="L53" s="17">
        <v>43.636363636363633</v>
      </c>
    </row>
    <row r="54" spans="1:12" x14ac:dyDescent="0.25">
      <c r="A54" s="16">
        <v>1725805657</v>
      </c>
      <c r="B54" s="16" t="s">
        <v>111</v>
      </c>
      <c r="C54" s="16" t="s">
        <v>59</v>
      </c>
      <c r="D54" s="16" t="s">
        <v>59</v>
      </c>
      <c r="E54" s="16"/>
      <c r="F54" s="16">
        <v>57</v>
      </c>
      <c r="G54" s="16">
        <v>4</v>
      </c>
      <c r="H54" s="17">
        <v>52.000000000000455</v>
      </c>
      <c r="I54" s="16">
        <v>18</v>
      </c>
      <c r="J54" s="16">
        <v>4</v>
      </c>
      <c r="K54" s="17">
        <v>27.999999999926786</v>
      </c>
      <c r="L54" s="17">
        <v>24.545454545454547</v>
      </c>
    </row>
    <row r="55" spans="1:12" x14ac:dyDescent="0.25">
      <c r="A55" s="16">
        <v>1721921789</v>
      </c>
      <c r="B55" s="16" t="s">
        <v>112</v>
      </c>
      <c r="C55" s="16" t="s">
        <v>47</v>
      </c>
      <c r="D55" s="16" t="s">
        <v>47</v>
      </c>
      <c r="E55" s="16"/>
      <c r="F55" s="16">
        <v>0</v>
      </c>
      <c r="G55" s="16">
        <v>5</v>
      </c>
      <c r="H55" s="16">
        <v>7.0000000000004547</v>
      </c>
      <c r="I55" s="16">
        <v>6</v>
      </c>
      <c r="J55" s="16">
        <v>4</v>
      </c>
      <c r="K55" s="16">
        <v>12.999999989121989</v>
      </c>
      <c r="L55" s="17">
        <v>8.1818181818181817</v>
      </c>
    </row>
    <row r="56" spans="1:12" x14ac:dyDescent="0.25">
      <c r="A56" s="16">
        <v>1715490148</v>
      </c>
      <c r="B56" s="16" t="s">
        <v>113</v>
      </c>
      <c r="C56" s="16" t="s">
        <v>70</v>
      </c>
      <c r="D56" s="16" t="s">
        <v>70</v>
      </c>
      <c r="E56" s="16"/>
      <c r="F56" s="16">
        <v>32</v>
      </c>
      <c r="G56" s="16">
        <v>7</v>
      </c>
      <c r="H56" s="17">
        <v>28.999999999999204</v>
      </c>
      <c r="I56" s="16">
        <v>32</v>
      </c>
      <c r="J56" s="16">
        <v>0</v>
      </c>
      <c r="K56" s="17">
        <v>30.999999999971806</v>
      </c>
      <c r="L56" s="17">
        <v>43.636363636363633</v>
      </c>
    </row>
    <row r="57" spans="1:12" x14ac:dyDescent="0.25">
      <c r="A57" s="29">
        <v>1707719892</v>
      </c>
      <c r="B57" s="29" t="s">
        <v>114</v>
      </c>
      <c r="C57" s="29" t="s">
        <v>47</v>
      </c>
      <c r="D57" s="29" t="s">
        <v>47</v>
      </c>
      <c r="E57" s="29"/>
      <c r="F57" s="16">
        <v>8</v>
      </c>
      <c r="G57" s="16">
        <v>4</v>
      </c>
      <c r="H57" s="16">
        <v>0</v>
      </c>
      <c r="I57" s="16">
        <v>8</v>
      </c>
      <c r="J57" s="16">
        <v>5</v>
      </c>
      <c r="K57" s="16">
        <v>19.999999999951115</v>
      </c>
      <c r="L57" s="17">
        <v>10.909090909090908</v>
      </c>
    </row>
    <row r="58" spans="1:12" x14ac:dyDescent="0.25">
      <c r="A58" s="29">
        <v>1711449627</v>
      </c>
      <c r="B58" s="29" t="s">
        <v>115</v>
      </c>
      <c r="C58" s="29" t="s">
        <v>61</v>
      </c>
      <c r="D58" s="29" t="s">
        <v>61</v>
      </c>
      <c r="E58" s="29"/>
      <c r="F58" s="16">
        <v>25</v>
      </c>
      <c r="G58" s="16">
        <v>6</v>
      </c>
      <c r="H58" s="16">
        <v>13.000000000000114</v>
      </c>
      <c r="I58" s="16">
        <v>25</v>
      </c>
      <c r="J58" s="16">
        <v>5</v>
      </c>
      <c r="K58" s="16">
        <v>46.999999999952138</v>
      </c>
      <c r="L58" s="17">
        <v>34.090909090909093</v>
      </c>
    </row>
    <row r="59" spans="1:12" x14ac:dyDescent="0.25">
      <c r="A59" s="29">
        <v>1714303748</v>
      </c>
      <c r="B59" s="29" t="s">
        <v>116</v>
      </c>
      <c r="C59" s="29" t="s">
        <v>86</v>
      </c>
      <c r="D59" s="29" t="s">
        <v>86</v>
      </c>
      <c r="E59" s="29"/>
      <c r="F59" s="16">
        <v>20</v>
      </c>
      <c r="G59" s="16">
        <v>1</v>
      </c>
      <c r="H59" s="16">
        <v>24.999999999999432</v>
      </c>
      <c r="I59" s="16">
        <v>20</v>
      </c>
      <c r="J59" s="16">
        <v>2</v>
      </c>
      <c r="K59" s="16">
        <v>34.99999999995282</v>
      </c>
      <c r="L59" s="17">
        <v>27.272727272727273</v>
      </c>
    </row>
    <row r="60" spans="1:12" x14ac:dyDescent="0.25">
      <c r="A60" s="29">
        <v>1727287219</v>
      </c>
      <c r="B60" s="29" t="s">
        <v>117</v>
      </c>
      <c r="C60" s="29" t="s">
        <v>86</v>
      </c>
      <c r="D60" s="29" t="s">
        <v>86</v>
      </c>
      <c r="E60" s="29"/>
      <c r="F60" s="16">
        <v>19</v>
      </c>
      <c r="G60" s="16">
        <v>4</v>
      </c>
      <c r="H60" s="16">
        <v>11.999999999999318</v>
      </c>
      <c r="I60" s="16">
        <v>19</v>
      </c>
      <c r="J60" s="16">
        <v>1</v>
      </c>
      <c r="K60" s="16">
        <v>7.9999999999552074</v>
      </c>
      <c r="L60" s="17">
        <v>25.90909090909091</v>
      </c>
    </row>
    <row r="61" spans="1:12" x14ac:dyDescent="0.25">
      <c r="A61" s="29">
        <v>1715425391</v>
      </c>
      <c r="B61" s="29" t="s">
        <v>118</v>
      </c>
      <c r="C61" s="29" t="s">
        <v>86</v>
      </c>
      <c r="D61" s="29" t="s">
        <v>86</v>
      </c>
      <c r="E61" s="29"/>
      <c r="F61" s="16">
        <v>15</v>
      </c>
      <c r="G61" s="16">
        <v>1</v>
      </c>
      <c r="H61" s="16">
        <v>54.250000000001819</v>
      </c>
      <c r="I61" s="16">
        <v>15</v>
      </c>
      <c r="J61" s="16">
        <v>2</v>
      </c>
      <c r="K61" s="16">
        <v>5.7499999999163265</v>
      </c>
      <c r="L61" s="17">
        <v>20.454545454545453</v>
      </c>
    </row>
    <row r="62" spans="1:12" x14ac:dyDescent="0.25">
      <c r="A62" s="29">
        <v>1723583363</v>
      </c>
      <c r="B62" s="29" t="s">
        <v>119</v>
      </c>
      <c r="C62" s="29" t="s">
        <v>56</v>
      </c>
      <c r="D62" s="29" t="s">
        <v>56</v>
      </c>
      <c r="E62" s="29"/>
      <c r="F62" s="16">
        <v>12</v>
      </c>
      <c r="G62" s="16">
        <v>4</v>
      </c>
      <c r="H62" s="16">
        <v>50.000000000000568</v>
      </c>
      <c r="I62" s="16">
        <v>12</v>
      </c>
      <c r="J62" s="16">
        <v>3</v>
      </c>
      <c r="K62" s="16">
        <v>9.9999999999585043</v>
      </c>
      <c r="L62" s="17">
        <v>16.363636363636363</v>
      </c>
    </row>
    <row r="63" spans="1:12" x14ac:dyDescent="0.25">
      <c r="A63" s="29">
        <v>202498614</v>
      </c>
      <c r="B63" s="29" t="s">
        <v>120</v>
      </c>
      <c r="C63" s="30" t="s">
        <v>66</v>
      </c>
      <c r="D63" s="29" t="s">
        <v>52</v>
      </c>
      <c r="E63" s="30"/>
      <c r="F63" s="16">
        <v>39</v>
      </c>
      <c r="G63" s="16">
        <v>6</v>
      </c>
      <c r="H63" s="16">
        <v>31.000000000000796</v>
      </c>
      <c r="I63" s="16">
        <v>39</v>
      </c>
      <c r="J63" s="16">
        <v>5</v>
      </c>
      <c r="K63" s="16">
        <v>28.999999999932697</v>
      </c>
      <c r="L63" s="17">
        <v>53.18181818181818</v>
      </c>
    </row>
    <row r="64" spans="1:12" x14ac:dyDescent="0.25">
      <c r="A64" s="29">
        <v>1725671927</v>
      </c>
      <c r="B64" s="29" t="s">
        <v>121</v>
      </c>
      <c r="C64" s="29" t="s">
        <v>65</v>
      </c>
      <c r="D64" s="29" t="s">
        <v>65</v>
      </c>
      <c r="E64" s="29"/>
      <c r="F64" s="16">
        <v>17</v>
      </c>
      <c r="G64" s="16">
        <v>3</v>
      </c>
      <c r="H64" s="16">
        <v>41.999999999999318</v>
      </c>
      <c r="I64" s="16">
        <v>17</v>
      </c>
      <c r="J64" s="16">
        <v>5</v>
      </c>
      <c r="K64" s="16">
        <v>37.999999999962029</v>
      </c>
      <c r="L64" s="17">
        <v>23.181818181818183</v>
      </c>
    </row>
    <row r="65" spans="1:12" x14ac:dyDescent="0.25">
      <c r="A65" s="29">
        <v>105928071</v>
      </c>
      <c r="B65" s="29" t="s">
        <v>122</v>
      </c>
      <c r="C65" s="29" t="s">
        <v>49</v>
      </c>
      <c r="D65" s="29" t="s">
        <v>49</v>
      </c>
      <c r="E65" s="29"/>
      <c r="F65" s="16">
        <v>9</v>
      </c>
      <c r="G65" s="16">
        <v>1</v>
      </c>
      <c r="H65" s="16">
        <v>39.000000000000341</v>
      </c>
      <c r="I65" s="16">
        <v>9</v>
      </c>
      <c r="J65" s="16">
        <v>1</v>
      </c>
      <c r="K65" s="16">
        <v>0.99999999996327915</v>
      </c>
      <c r="L65" s="17">
        <v>12.272727272727273</v>
      </c>
    </row>
    <row r="66" spans="1:12" x14ac:dyDescent="0.25">
      <c r="A66" s="29">
        <v>1714197892</v>
      </c>
      <c r="B66" s="29" t="s">
        <v>123</v>
      </c>
      <c r="C66" s="29" t="s">
        <v>65</v>
      </c>
      <c r="D66" s="29" t="s">
        <v>52</v>
      </c>
      <c r="E66" s="29"/>
      <c r="F66" s="16">
        <v>22</v>
      </c>
      <c r="G66" s="16">
        <v>3</v>
      </c>
      <c r="H66" s="16">
        <v>0</v>
      </c>
      <c r="I66" s="16">
        <v>22</v>
      </c>
      <c r="J66" s="16">
        <v>7</v>
      </c>
      <c r="K66" s="16">
        <v>39.99999999996362</v>
      </c>
      <c r="L66" s="17">
        <v>30</v>
      </c>
    </row>
    <row r="67" spans="1:12" x14ac:dyDescent="0.25">
      <c r="A67" s="29">
        <v>401646922</v>
      </c>
      <c r="B67" s="29" t="s">
        <v>124</v>
      </c>
      <c r="C67" s="29" t="s">
        <v>70</v>
      </c>
      <c r="D67" s="29" t="s">
        <v>70</v>
      </c>
      <c r="E67" s="29"/>
      <c r="F67" s="16">
        <v>24</v>
      </c>
      <c r="G67" s="16">
        <v>5</v>
      </c>
      <c r="H67" s="16">
        <v>12.000000000000171</v>
      </c>
      <c r="I67" s="16">
        <v>24</v>
      </c>
      <c r="J67" s="16">
        <v>6</v>
      </c>
      <c r="K67" s="16">
        <v>47.999999999966576</v>
      </c>
      <c r="L67" s="17">
        <v>32.727272727272727</v>
      </c>
    </row>
    <row r="68" spans="1:12" x14ac:dyDescent="0.25">
      <c r="A68" s="29">
        <v>1805210562</v>
      </c>
      <c r="B68" s="29" t="s">
        <v>125</v>
      </c>
      <c r="C68" s="29" t="s">
        <v>56</v>
      </c>
      <c r="D68" s="29" t="s">
        <v>52</v>
      </c>
      <c r="E68" s="29"/>
      <c r="F68" s="16">
        <v>21</v>
      </c>
      <c r="G68" s="16">
        <v>5</v>
      </c>
      <c r="H68" s="16">
        <v>45</v>
      </c>
      <c r="I68" s="16">
        <v>21</v>
      </c>
      <c r="J68" s="16">
        <v>7</v>
      </c>
      <c r="K68" s="16">
        <v>34.999999999968168</v>
      </c>
      <c r="L68" s="17">
        <v>28.636363636363637</v>
      </c>
    </row>
    <row r="69" spans="1:12" x14ac:dyDescent="0.25">
      <c r="A69" s="29">
        <v>1714290721</v>
      </c>
      <c r="B69" s="29" t="s">
        <v>126</v>
      </c>
      <c r="C69" s="29" t="s">
        <v>61</v>
      </c>
      <c r="D69" s="29" t="s">
        <v>61</v>
      </c>
      <c r="E69" s="29"/>
      <c r="F69" s="16">
        <v>27</v>
      </c>
      <c r="G69" s="16">
        <v>3</v>
      </c>
      <c r="H69" s="16">
        <v>0</v>
      </c>
      <c r="I69" s="16">
        <v>27</v>
      </c>
      <c r="J69" s="16">
        <v>2</v>
      </c>
      <c r="K69" s="16">
        <v>19.999999999968168</v>
      </c>
      <c r="L69" s="17">
        <v>36.81818181818182</v>
      </c>
    </row>
    <row r="70" spans="1:12" x14ac:dyDescent="0.25">
      <c r="A70" s="29">
        <v>1717517625</v>
      </c>
      <c r="B70" s="29" t="s">
        <v>127</v>
      </c>
      <c r="C70" s="29" t="s">
        <v>54</v>
      </c>
      <c r="D70" s="29" t="s">
        <v>54</v>
      </c>
      <c r="E70" s="30"/>
      <c r="F70" s="16">
        <v>8</v>
      </c>
      <c r="G70" s="16">
        <v>3</v>
      </c>
      <c r="H70" s="16">
        <v>1.0000000000007958</v>
      </c>
      <c r="I70" s="16">
        <v>8</v>
      </c>
      <c r="J70" s="16">
        <v>6</v>
      </c>
      <c r="K70" s="16">
        <v>18.999999999970782</v>
      </c>
      <c r="L70" s="17">
        <v>10.909090909090908</v>
      </c>
    </row>
    <row r="71" spans="1:12" x14ac:dyDescent="0.25">
      <c r="A71" s="29">
        <v>102815875</v>
      </c>
      <c r="B71" s="29" t="s">
        <v>128</v>
      </c>
      <c r="C71" s="29" t="s">
        <v>54</v>
      </c>
      <c r="D71" s="29" t="s">
        <v>54</v>
      </c>
      <c r="E71" s="29"/>
      <c r="F71" s="16">
        <v>10</v>
      </c>
      <c r="G71" s="16">
        <v>2</v>
      </c>
      <c r="H71" s="16">
        <v>41.999999999999318</v>
      </c>
      <c r="I71" s="16">
        <v>10</v>
      </c>
      <c r="J71" s="16">
        <v>6</v>
      </c>
      <c r="K71" s="16">
        <v>37.99999999997226</v>
      </c>
      <c r="L71" s="17">
        <v>13.636363636363637</v>
      </c>
    </row>
    <row r="72" spans="1:12" x14ac:dyDescent="0.25">
      <c r="A72" s="29">
        <v>1716086648</v>
      </c>
      <c r="B72" s="29" t="s">
        <v>129</v>
      </c>
      <c r="C72" s="29" t="s">
        <v>70</v>
      </c>
      <c r="D72" s="29" t="s">
        <v>70</v>
      </c>
      <c r="E72" s="29"/>
      <c r="F72" s="16">
        <v>16</v>
      </c>
      <c r="G72" s="16">
        <v>5</v>
      </c>
      <c r="H72" s="16">
        <v>24.000000000000341</v>
      </c>
      <c r="I72" s="16">
        <v>16</v>
      </c>
      <c r="J72" s="16">
        <v>3</v>
      </c>
      <c r="K72" s="16">
        <v>55.999999999971237</v>
      </c>
      <c r="L72" s="17">
        <v>21.818181818181817</v>
      </c>
    </row>
    <row r="73" spans="1:12" x14ac:dyDescent="0.25">
      <c r="A73" s="29">
        <v>1722878186</v>
      </c>
      <c r="B73" s="29" t="s">
        <v>130</v>
      </c>
      <c r="C73" s="29" t="s">
        <v>47</v>
      </c>
      <c r="D73" s="29" t="s">
        <v>47</v>
      </c>
      <c r="E73" s="29"/>
      <c r="F73" s="16">
        <v>21</v>
      </c>
      <c r="G73" s="16">
        <v>7</v>
      </c>
      <c r="H73" s="16">
        <v>0</v>
      </c>
      <c r="I73" s="16">
        <v>21</v>
      </c>
      <c r="J73" s="16">
        <v>2</v>
      </c>
      <c r="K73" s="16">
        <v>19.999999999971578</v>
      </c>
      <c r="L73" s="17">
        <v>28.636363636363637</v>
      </c>
    </row>
    <row r="74" spans="1:12" x14ac:dyDescent="0.25">
      <c r="A74" s="29">
        <v>1714751615</v>
      </c>
      <c r="B74" s="29" t="s">
        <v>131</v>
      </c>
      <c r="C74" s="29" t="s">
        <v>132</v>
      </c>
      <c r="D74" s="29" t="s">
        <v>63</v>
      </c>
      <c r="E74" s="29"/>
      <c r="F74" s="16">
        <v>23</v>
      </c>
      <c r="G74" s="16">
        <v>0</v>
      </c>
      <c r="H74" s="16">
        <v>42.000000000000171</v>
      </c>
      <c r="I74" s="16">
        <v>23</v>
      </c>
      <c r="J74" s="16">
        <v>0</v>
      </c>
      <c r="K74" s="16">
        <v>37.99999999997226</v>
      </c>
      <c r="L74" s="17">
        <v>31.363636363636363</v>
      </c>
    </row>
    <row r="75" spans="1:12" x14ac:dyDescent="0.25">
      <c r="A75" s="29">
        <v>1721130639</v>
      </c>
      <c r="B75" s="29" t="s">
        <v>133</v>
      </c>
      <c r="C75" s="29" t="s">
        <v>74</v>
      </c>
      <c r="D75" s="29" t="s">
        <v>74</v>
      </c>
      <c r="E75" s="29"/>
      <c r="F75" s="16">
        <v>16</v>
      </c>
      <c r="G75" s="16">
        <v>3</v>
      </c>
      <c r="H75" s="16">
        <v>33.000000000000043</v>
      </c>
      <c r="I75" s="16">
        <v>16</v>
      </c>
      <c r="J75" s="16">
        <v>5</v>
      </c>
      <c r="K75" s="16">
        <v>46.999999999981128</v>
      </c>
      <c r="L75" s="17">
        <v>21.818181818181817</v>
      </c>
    </row>
    <row r="76" spans="1:12" x14ac:dyDescent="0.25">
      <c r="A76" s="29">
        <v>1716135379</v>
      </c>
      <c r="B76" s="29" t="s">
        <v>134</v>
      </c>
      <c r="C76" s="29" t="s">
        <v>59</v>
      </c>
      <c r="D76" s="29" t="s">
        <v>52</v>
      </c>
      <c r="E76" s="29"/>
      <c r="F76" s="16">
        <v>6</v>
      </c>
      <c r="G76" s="16">
        <v>4</v>
      </c>
      <c r="H76" s="16">
        <v>30</v>
      </c>
      <c r="I76" s="16">
        <v>6</v>
      </c>
      <c r="J76" s="16">
        <v>4</v>
      </c>
      <c r="K76" s="16">
        <v>49.99999999998181</v>
      </c>
      <c r="L76" s="17">
        <v>8.1818181818181817</v>
      </c>
    </row>
    <row r="77" spans="1:12" x14ac:dyDescent="0.25">
      <c r="A77" s="29">
        <v>1716363047</v>
      </c>
      <c r="B77" s="29" t="s">
        <v>135</v>
      </c>
      <c r="C77" s="29" t="s">
        <v>63</v>
      </c>
      <c r="D77" s="29" t="s">
        <v>63</v>
      </c>
      <c r="E77" s="29"/>
      <c r="F77" s="16">
        <v>9</v>
      </c>
      <c r="G77" s="16">
        <v>1</v>
      </c>
      <c r="H77" s="16">
        <v>41.000000000000227</v>
      </c>
      <c r="I77" s="16">
        <v>9</v>
      </c>
      <c r="J77" s="16">
        <v>0</v>
      </c>
      <c r="K77" s="16">
        <v>58.999999999983856</v>
      </c>
      <c r="L77" s="17">
        <v>12.272727272727273</v>
      </c>
    </row>
    <row r="78" spans="1:12" x14ac:dyDescent="0.25">
      <c r="A78" s="29">
        <v>1900776384</v>
      </c>
      <c r="B78" s="29" t="s">
        <v>136</v>
      </c>
      <c r="C78" s="29" t="s">
        <v>66</v>
      </c>
      <c r="D78" s="29" t="s">
        <v>66</v>
      </c>
      <c r="E78" s="30"/>
      <c r="F78" s="16">
        <v>7</v>
      </c>
      <c r="G78" s="16">
        <v>3</v>
      </c>
      <c r="H78" s="16">
        <v>51.999999999999602</v>
      </c>
      <c r="I78" s="16">
        <v>7</v>
      </c>
      <c r="J78" s="16">
        <v>6</v>
      </c>
      <c r="K78" s="16">
        <v>47.999999999984482</v>
      </c>
      <c r="L78" s="17">
        <v>9.545454545454545</v>
      </c>
    </row>
    <row r="79" spans="1:12" x14ac:dyDescent="0.25">
      <c r="A79" s="29">
        <v>1719375311</v>
      </c>
      <c r="B79" s="29" t="s">
        <v>137</v>
      </c>
      <c r="C79" s="29" t="s">
        <v>49</v>
      </c>
      <c r="D79" s="29" t="s">
        <v>49</v>
      </c>
      <c r="E79" s="30"/>
      <c r="F79" s="16">
        <v>15</v>
      </c>
      <c r="G79" s="16">
        <v>7</v>
      </c>
      <c r="H79" s="16">
        <v>22.000000000000028</v>
      </c>
      <c r="I79" s="16">
        <v>15</v>
      </c>
      <c r="J79" s="16">
        <v>3</v>
      </c>
      <c r="K79" s="16">
        <v>17.999999999983629</v>
      </c>
      <c r="L79" s="17">
        <v>20.454545454545453</v>
      </c>
    </row>
    <row r="80" spans="1:12" x14ac:dyDescent="0.25">
      <c r="A80" s="29">
        <v>1713060265</v>
      </c>
      <c r="B80" s="29" t="s">
        <v>138</v>
      </c>
      <c r="C80" s="29" t="s">
        <v>70</v>
      </c>
      <c r="D80" s="29" t="s">
        <v>70</v>
      </c>
      <c r="E80" s="30"/>
      <c r="F80" s="16">
        <v>11</v>
      </c>
      <c r="G80" s="16">
        <v>7</v>
      </c>
      <c r="H80" s="16">
        <v>9.9999999999998579</v>
      </c>
      <c r="I80" s="16">
        <v>11</v>
      </c>
      <c r="J80" s="16">
        <v>4</v>
      </c>
      <c r="K80" s="16">
        <v>49.999999999985221</v>
      </c>
      <c r="L80" s="17">
        <v>15</v>
      </c>
    </row>
    <row r="81" spans="1:12" x14ac:dyDescent="0.25">
      <c r="A81" s="29">
        <v>802939389</v>
      </c>
      <c r="B81" s="29" t="s">
        <v>139</v>
      </c>
      <c r="C81" s="29" t="s">
        <v>52</v>
      </c>
      <c r="D81" s="29" t="s">
        <v>52</v>
      </c>
      <c r="E81" s="30"/>
      <c r="F81" s="16">
        <v>5</v>
      </c>
      <c r="G81" s="16">
        <v>0</v>
      </c>
      <c r="H81" s="16">
        <v>0</v>
      </c>
      <c r="I81" s="16">
        <v>5</v>
      </c>
      <c r="J81" s="16">
        <v>6</v>
      </c>
      <c r="K81" s="16">
        <v>39.999999999988347</v>
      </c>
      <c r="L81" s="17">
        <v>6.8181818181818183</v>
      </c>
    </row>
    <row r="82" spans="1:12" x14ac:dyDescent="0.25">
      <c r="A82" s="29">
        <v>1103341077</v>
      </c>
      <c r="B82" s="29" t="s">
        <v>140</v>
      </c>
      <c r="C82" s="29" t="s">
        <v>56</v>
      </c>
      <c r="D82" s="29" t="s">
        <v>56</v>
      </c>
      <c r="E82" s="30"/>
      <c r="F82" s="16">
        <v>12</v>
      </c>
      <c r="G82" s="16">
        <v>5</v>
      </c>
      <c r="H82" s="16">
        <v>40.000000000000284</v>
      </c>
      <c r="I82" s="16">
        <v>12</v>
      </c>
      <c r="J82" s="16">
        <v>0</v>
      </c>
      <c r="K82" s="16">
        <v>59.99999999998721</v>
      </c>
      <c r="L82" s="17">
        <v>16.363636363636363</v>
      </c>
    </row>
    <row r="83" spans="1:12" x14ac:dyDescent="0.25">
      <c r="A83" s="29">
        <v>1719235432</v>
      </c>
      <c r="B83" s="29" t="s">
        <v>141</v>
      </c>
      <c r="C83" s="29" t="s">
        <v>74</v>
      </c>
      <c r="D83" s="29" t="s">
        <v>74</v>
      </c>
      <c r="E83" s="30"/>
      <c r="F83" s="16">
        <v>8</v>
      </c>
      <c r="G83" s="16">
        <v>7</v>
      </c>
      <c r="H83" s="16">
        <v>30</v>
      </c>
      <c r="I83" s="16">
        <v>8</v>
      </c>
      <c r="J83" s="16">
        <v>0</v>
      </c>
      <c r="K83" s="16">
        <v>29.999999999989768</v>
      </c>
      <c r="L83" s="17">
        <v>10.909090909090908</v>
      </c>
    </row>
    <row r="84" spans="1:12" x14ac:dyDescent="0.25">
      <c r="A84" s="29">
        <v>1712928272</v>
      </c>
      <c r="B84" s="29" t="s">
        <v>142</v>
      </c>
      <c r="C84" s="29" t="s">
        <v>74</v>
      </c>
      <c r="D84" s="29" t="s">
        <v>74</v>
      </c>
      <c r="E84" s="30"/>
      <c r="F84" s="16">
        <v>7</v>
      </c>
      <c r="G84" s="16">
        <v>5</v>
      </c>
      <c r="H84" s="16">
        <v>34.999999999999929</v>
      </c>
      <c r="I84" s="16">
        <v>7</v>
      </c>
      <c r="J84" s="16">
        <v>2</v>
      </c>
      <c r="K84" s="16">
        <v>24.999999999990052</v>
      </c>
      <c r="L84" s="17">
        <v>9.545454545454545</v>
      </c>
    </row>
    <row r="85" spans="1:12" x14ac:dyDescent="0.25">
      <c r="A85" s="29">
        <v>1716346489</v>
      </c>
      <c r="B85" s="29" t="s">
        <v>143</v>
      </c>
      <c r="C85" s="29" t="s">
        <v>65</v>
      </c>
      <c r="D85" s="29" t="s">
        <v>65</v>
      </c>
      <c r="E85" s="38"/>
      <c r="F85" s="16">
        <v>4</v>
      </c>
      <c r="G85" s="16">
        <v>0</v>
      </c>
      <c r="H85" s="16">
        <v>6.0000000000000853</v>
      </c>
      <c r="I85" s="16">
        <v>4</v>
      </c>
      <c r="J85" s="16">
        <v>7</v>
      </c>
      <c r="K85" s="16">
        <v>53.999999999989683</v>
      </c>
      <c r="L85" s="17">
        <v>5.4545454545454541</v>
      </c>
    </row>
    <row r="86" spans="1:12" x14ac:dyDescent="0.25">
      <c r="A86" s="29">
        <v>1002574646</v>
      </c>
      <c r="B86" s="29" t="s">
        <v>144</v>
      </c>
      <c r="C86" s="29" t="s">
        <v>52</v>
      </c>
      <c r="D86" s="29" t="s">
        <v>52</v>
      </c>
      <c r="E86" s="38"/>
      <c r="F86" s="16">
        <v>7</v>
      </c>
      <c r="G86" s="16">
        <v>0</v>
      </c>
      <c r="H86" s="16">
        <v>0</v>
      </c>
      <c r="I86" s="16">
        <v>7</v>
      </c>
      <c r="J86" s="16">
        <v>1</v>
      </c>
      <c r="K86" s="16">
        <v>19.999999999992042</v>
      </c>
      <c r="L86" s="17">
        <v>9.545454545454545</v>
      </c>
    </row>
    <row r="87" spans="1:12" x14ac:dyDescent="0.25">
      <c r="A87" s="39">
        <v>1716895352</v>
      </c>
      <c r="B87" s="39" t="s">
        <v>145</v>
      </c>
      <c r="C87" s="39" t="s">
        <v>92</v>
      </c>
      <c r="D87" s="39" t="s">
        <v>52</v>
      </c>
      <c r="E87" s="39"/>
      <c r="F87" s="39">
        <v>7</v>
      </c>
      <c r="G87" s="39">
        <v>2</v>
      </c>
      <c r="H87" s="39">
        <v>11.999999999999957</v>
      </c>
      <c r="I87" s="39">
        <v>7</v>
      </c>
      <c r="J87" s="39">
        <v>7</v>
      </c>
      <c r="K87" s="39">
        <v>7.9999999999918714</v>
      </c>
      <c r="L87" s="39">
        <v>9.545454545454545</v>
      </c>
    </row>
    <row r="88" spans="1:12" x14ac:dyDescent="0.25">
      <c r="A88" s="39">
        <v>1102823448</v>
      </c>
      <c r="B88" s="39" t="s">
        <v>146</v>
      </c>
      <c r="C88" s="39" t="s">
        <v>52</v>
      </c>
      <c r="D88" s="39" t="s">
        <v>52</v>
      </c>
      <c r="E88" s="39"/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</row>
    <row r="89" spans="1:12" x14ac:dyDescent="0.25">
      <c r="A89" s="39">
        <v>1708029978</v>
      </c>
      <c r="B89" s="39" t="s">
        <v>147</v>
      </c>
      <c r="C89" s="39" t="s">
        <v>61</v>
      </c>
      <c r="D89" s="39" t="s">
        <v>52</v>
      </c>
      <c r="E89" s="39"/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</row>
    <row r="90" spans="1:12" s="42" customFormat="1" x14ac:dyDescent="0.25">
      <c r="A90" s="39">
        <v>704487636</v>
      </c>
      <c r="B90" s="39" t="s">
        <v>148</v>
      </c>
      <c r="C90" s="39" t="s">
        <v>47</v>
      </c>
      <c r="D90" s="39" t="s">
        <v>52</v>
      </c>
      <c r="E90" s="39"/>
      <c r="F90" s="39">
        <v>-1</v>
      </c>
      <c r="G90" s="39">
        <v>0</v>
      </c>
      <c r="H90" s="39">
        <v>0</v>
      </c>
      <c r="I90" s="39">
        <v>-1</v>
      </c>
      <c r="J90" s="39">
        <v>0</v>
      </c>
      <c r="K90" s="39">
        <v>0</v>
      </c>
      <c r="L90" s="39">
        <v>-1.3636363636363635</v>
      </c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lle xmlns="eb6cfc7d-454b-455c-a802-a19b87e65dbf" xsi:nil="true"/>
    <SharedWithUsers xmlns="83d04f88-3072-44ec-afc0-5ce1c4d6afd3">
      <UserInfo>
        <DisplayName>Marilyn Salgado Nolivos</DisplayName>
        <AccountId>69</AccountId>
        <AccountType/>
      </UserInfo>
    </SharedWithUsers>
    <TaxCatchAll xmlns="83d04f88-3072-44ec-afc0-5ce1c4d6afd3" xsi:nil="true"/>
    <lcf76f155ced4ddcb4097134ff3c332f xmlns="eb6cfc7d-454b-455c-a802-a19b87e65dbf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ae07c1afb7bafcc04e0751e539586d6e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adc338d2e9ef45b71e5c500add2daf93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796E70-A3F6-441A-9713-CD0D73992498}">
  <ds:schemaRefs>
    <ds:schemaRef ds:uri="http://schemas.microsoft.com/office/2006/metadata/properties"/>
    <ds:schemaRef ds:uri="http://schemas.microsoft.com/office/infopath/2007/PartnerControls"/>
    <ds:schemaRef ds:uri="eb6cfc7d-454b-455c-a802-a19b87e65dbf"/>
    <ds:schemaRef ds:uri="83d04f88-3072-44ec-afc0-5ce1c4d6afd3"/>
  </ds:schemaRefs>
</ds:datastoreItem>
</file>

<file path=customXml/itemProps2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F8339B6-E2EF-42A1-A3E6-74C2159F1A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dcterms:created xsi:type="dcterms:W3CDTF">2022-03-11T20:40:54Z</dcterms:created>
  <dcterms:modified xsi:type="dcterms:W3CDTF">2025-08-01T14:02:33Z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  <property fmtid="{D5CDD505-2E9C-101B-9397-08002B2CF9AE}" pid="3" name="MediaServiceImageTags">
    <vt:lpwstr/>
  </property>
</Properties>
</file>