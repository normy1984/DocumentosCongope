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cos\Desktop\"/>
    </mc:Choice>
  </mc:AlternateContent>
  <xr:revisionPtr revIDLastSave="0" documentId="13_ncr:1_{2DF736A2-7149-4676-9881-D89041A910C6}" xr6:coauthVersionLast="47" xr6:coauthVersionMax="47" xr10:uidLastSave="{00000000-0000-0000-0000-000000000000}"/>
  <workbookProtection workbookAlgorithmName="SHA-512" workbookHashValue="woWOS7Czbnoepvupr3ZPWXjONrbg14y4XKzKIV/jQYm8ys4DtT2GzjikK4kkiFccQCq6zlxJaKYy4rN06L+EMA==" workbookSaltValue="JsYq5A0KFj+QAKjP5gXXeA==" workbookSpinCount="100000" lockStructure="1"/>
  <bookViews>
    <workbookView xWindow="-120" yWindow="-120" windowWidth="20730" windowHeight="11040" xr2:uid="{C2D325EF-292D-4898-937B-2524CC91AD77}"/>
  </bookViews>
  <sheets>
    <sheet name="FORMATO DE PERMISOS Y VACACIONE" sheetId="1" r:id="rId1"/>
    <sheet name="Hoja2" sheetId="2" state="hidden" r:id="rId2"/>
  </sheets>
  <externalReferences>
    <externalReference r:id="rId3"/>
  </externalReference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1" i="2" l="1"/>
  <c r="K101" i="2"/>
  <c r="J101" i="2"/>
  <c r="I101" i="2"/>
  <c r="H101" i="2"/>
  <c r="G101" i="2"/>
  <c r="F101" i="2"/>
  <c r="L100" i="2"/>
  <c r="K100" i="2"/>
  <c r="J100" i="2"/>
  <c r="I100" i="2"/>
  <c r="H100" i="2"/>
  <c r="G100" i="2"/>
  <c r="F100" i="2"/>
  <c r="L99" i="2"/>
  <c r="K99" i="2"/>
  <c r="J99" i="2"/>
  <c r="I99" i="2"/>
  <c r="H99" i="2"/>
  <c r="G99" i="2"/>
  <c r="F99" i="2"/>
  <c r="L98" i="2"/>
  <c r="K98" i="2"/>
  <c r="J98" i="2"/>
  <c r="I98" i="2"/>
  <c r="H98" i="2"/>
  <c r="G98" i="2"/>
  <c r="F98" i="2"/>
  <c r="L97" i="2"/>
  <c r="K97" i="2"/>
  <c r="J97" i="2"/>
  <c r="I97" i="2"/>
  <c r="H97" i="2"/>
  <c r="G97" i="2"/>
  <c r="F97" i="2"/>
  <c r="L96" i="2"/>
  <c r="K96" i="2"/>
  <c r="J96" i="2"/>
  <c r="I96" i="2"/>
  <c r="H96" i="2"/>
  <c r="G96" i="2"/>
  <c r="F96" i="2"/>
  <c r="L95" i="2"/>
  <c r="K95" i="2"/>
  <c r="J95" i="2"/>
  <c r="I95" i="2"/>
  <c r="H95" i="2"/>
  <c r="G95" i="2"/>
  <c r="F95" i="2"/>
  <c r="L94" i="2"/>
  <c r="K94" i="2"/>
  <c r="J94" i="2"/>
  <c r="I94" i="2"/>
  <c r="H94" i="2"/>
  <c r="G94" i="2"/>
  <c r="F94" i="2"/>
  <c r="L93" i="2"/>
  <c r="K93" i="2"/>
  <c r="J93" i="2"/>
  <c r="I93" i="2"/>
  <c r="H93" i="2"/>
  <c r="G93" i="2"/>
  <c r="F93" i="2"/>
  <c r="L92" i="2"/>
  <c r="K92" i="2"/>
  <c r="J92" i="2"/>
  <c r="I92" i="2"/>
  <c r="H92" i="2"/>
  <c r="G92" i="2"/>
  <c r="F92" i="2"/>
  <c r="L91" i="2"/>
  <c r="K91" i="2"/>
  <c r="J91" i="2"/>
  <c r="I91" i="2"/>
  <c r="H91" i="2"/>
  <c r="G91" i="2"/>
  <c r="F91" i="2"/>
  <c r="L90" i="2"/>
  <c r="K90" i="2"/>
  <c r="J90" i="2"/>
  <c r="I90" i="2"/>
  <c r="H90" i="2"/>
  <c r="G90" i="2"/>
  <c r="F90" i="2"/>
  <c r="L89" i="2"/>
  <c r="K89" i="2"/>
  <c r="J89" i="2"/>
  <c r="I89" i="2"/>
  <c r="H89" i="2"/>
  <c r="G89" i="2"/>
  <c r="F89" i="2"/>
  <c r="L88" i="2"/>
  <c r="K88" i="2"/>
  <c r="J88" i="2"/>
  <c r="I88" i="2"/>
  <c r="H88" i="2"/>
  <c r="G88" i="2"/>
  <c r="F88" i="2"/>
  <c r="L87" i="2"/>
  <c r="K87" i="2"/>
  <c r="J87" i="2"/>
  <c r="I87" i="2"/>
  <c r="H87" i="2"/>
  <c r="G87" i="2"/>
  <c r="F87" i="2"/>
  <c r="L86" i="2"/>
  <c r="K86" i="2"/>
  <c r="J86" i="2"/>
  <c r="I86" i="2"/>
  <c r="H86" i="2"/>
  <c r="G86" i="2"/>
  <c r="F86" i="2"/>
  <c r="L85" i="2"/>
  <c r="K85" i="2"/>
  <c r="J85" i="2"/>
  <c r="I85" i="2"/>
  <c r="H85" i="2"/>
  <c r="G85" i="2"/>
  <c r="F85" i="2"/>
  <c r="L84" i="2"/>
  <c r="K84" i="2"/>
  <c r="J84" i="2"/>
  <c r="I84" i="2"/>
  <c r="H84" i="2"/>
  <c r="G84" i="2"/>
  <c r="F84" i="2"/>
  <c r="L83" i="2"/>
  <c r="K83" i="2"/>
  <c r="J83" i="2"/>
  <c r="I83" i="2"/>
  <c r="H83" i="2"/>
  <c r="G83" i="2"/>
  <c r="F83" i="2"/>
  <c r="L82" i="2"/>
  <c r="K82" i="2"/>
  <c r="J82" i="2"/>
  <c r="I82" i="2"/>
  <c r="H82" i="2"/>
  <c r="G82" i="2"/>
  <c r="F82" i="2"/>
  <c r="L81" i="2"/>
  <c r="K81" i="2"/>
  <c r="J81" i="2"/>
  <c r="I81" i="2"/>
  <c r="H81" i="2"/>
  <c r="G81" i="2"/>
  <c r="F81" i="2"/>
  <c r="L80" i="2"/>
  <c r="K80" i="2"/>
  <c r="J80" i="2"/>
  <c r="I80" i="2"/>
  <c r="H80" i="2"/>
  <c r="G80" i="2"/>
  <c r="F80" i="2"/>
  <c r="L79" i="2"/>
  <c r="K79" i="2"/>
  <c r="J79" i="2"/>
  <c r="I79" i="2"/>
  <c r="H79" i="2"/>
  <c r="G79" i="2"/>
  <c r="F79" i="2"/>
  <c r="L78" i="2"/>
  <c r="K78" i="2"/>
  <c r="J78" i="2"/>
  <c r="I78" i="2"/>
  <c r="H78" i="2"/>
  <c r="G78" i="2"/>
  <c r="F78" i="2"/>
  <c r="L77" i="2"/>
  <c r="K77" i="2"/>
  <c r="J77" i="2"/>
  <c r="I77" i="2"/>
  <c r="H77" i="2"/>
  <c r="G77" i="2"/>
  <c r="F77" i="2"/>
  <c r="L76" i="2"/>
  <c r="K76" i="2"/>
  <c r="J76" i="2"/>
  <c r="I76" i="2"/>
  <c r="H76" i="2"/>
  <c r="G76" i="2"/>
  <c r="F76" i="2"/>
  <c r="L75" i="2"/>
  <c r="K75" i="2"/>
  <c r="J75" i="2"/>
  <c r="I75" i="2"/>
  <c r="H75" i="2"/>
  <c r="G75" i="2"/>
  <c r="F75" i="2"/>
  <c r="L74" i="2"/>
  <c r="K74" i="2"/>
  <c r="J74" i="2"/>
  <c r="I74" i="2"/>
  <c r="H74" i="2"/>
  <c r="G74" i="2"/>
  <c r="F74" i="2"/>
  <c r="L73" i="2"/>
  <c r="K73" i="2"/>
  <c r="J73" i="2"/>
  <c r="I73" i="2"/>
  <c r="H73" i="2"/>
  <c r="G73" i="2"/>
  <c r="F73" i="2"/>
  <c r="L72" i="2"/>
  <c r="K72" i="2"/>
  <c r="J72" i="2"/>
  <c r="I72" i="2"/>
  <c r="H72" i="2"/>
  <c r="G72" i="2"/>
  <c r="F72" i="2"/>
  <c r="L71" i="2"/>
  <c r="K71" i="2"/>
  <c r="J71" i="2"/>
  <c r="I71" i="2"/>
  <c r="H71" i="2"/>
  <c r="G71" i="2"/>
  <c r="F71" i="2"/>
  <c r="L70" i="2"/>
  <c r="K70" i="2"/>
  <c r="J70" i="2"/>
  <c r="I70" i="2"/>
  <c r="H70" i="2"/>
  <c r="G70" i="2"/>
  <c r="F70" i="2"/>
  <c r="L69" i="2"/>
  <c r="K69" i="2"/>
  <c r="J69" i="2"/>
  <c r="I69" i="2"/>
  <c r="H69" i="2"/>
  <c r="G69" i="2"/>
  <c r="F69" i="2"/>
  <c r="L68" i="2"/>
  <c r="K68" i="2"/>
  <c r="J68" i="2"/>
  <c r="I68" i="2"/>
  <c r="H68" i="2"/>
  <c r="G68" i="2"/>
  <c r="F68" i="2"/>
  <c r="L67" i="2"/>
  <c r="K67" i="2"/>
  <c r="J67" i="2"/>
  <c r="I67" i="2"/>
  <c r="H67" i="2"/>
  <c r="G67" i="2"/>
  <c r="F67" i="2"/>
  <c r="L66" i="2"/>
  <c r="K66" i="2"/>
  <c r="J66" i="2"/>
  <c r="I66" i="2"/>
  <c r="H66" i="2"/>
  <c r="G66" i="2"/>
  <c r="F66" i="2"/>
  <c r="L65" i="2"/>
  <c r="K65" i="2"/>
  <c r="J65" i="2"/>
  <c r="I65" i="2"/>
  <c r="H65" i="2"/>
  <c r="G65" i="2"/>
  <c r="F65" i="2"/>
  <c r="L64" i="2"/>
  <c r="K64" i="2"/>
  <c r="J64" i="2"/>
  <c r="I64" i="2"/>
  <c r="H64" i="2"/>
  <c r="G64" i="2"/>
  <c r="F64" i="2"/>
  <c r="L63" i="2"/>
  <c r="K63" i="2"/>
  <c r="J63" i="2"/>
  <c r="I63" i="2"/>
  <c r="H63" i="2"/>
  <c r="G63" i="2"/>
  <c r="F63" i="2"/>
  <c r="L62" i="2"/>
  <c r="K62" i="2"/>
  <c r="J62" i="2"/>
  <c r="I62" i="2"/>
  <c r="H62" i="2"/>
  <c r="G62" i="2"/>
  <c r="F62" i="2"/>
  <c r="L61" i="2"/>
  <c r="K61" i="2"/>
  <c r="J61" i="2"/>
  <c r="I61" i="2"/>
  <c r="H61" i="2"/>
  <c r="G61" i="2"/>
  <c r="F61" i="2"/>
  <c r="L60" i="2"/>
  <c r="K60" i="2"/>
  <c r="J60" i="2"/>
  <c r="I60" i="2"/>
  <c r="H60" i="2"/>
  <c r="G60" i="2"/>
  <c r="F60" i="2"/>
  <c r="L59" i="2"/>
  <c r="K59" i="2"/>
  <c r="J59" i="2"/>
  <c r="I59" i="2"/>
  <c r="H59" i="2"/>
  <c r="G59" i="2"/>
  <c r="F59" i="2"/>
  <c r="L58" i="2"/>
  <c r="K58" i="2"/>
  <c r="J58" i="2"/>
  <c r="I58" i="2"/>
  <c r="H58" i="2"/>
  <c r="G58" i="2"/>
  <c r="F58" i="2"/>
  <c r="L57" i="2"/>
  <c r="K57" i="2"/>
  <c r="J57" i="2"/>
  <c r="I57" i="2"/>
  <c r="H57" i="2"/>
  <c r="G57" i="2"/>
  <c r="F57" i="2"/>
  <c r="L56" i="2"/>
  <c r="K56" i="2"/>
  <c r="J56" i="2"/>
  <c r="I56" i="2"/>
  <c r="H56" i="2"/>
  <c r="G56" i="2"/>
  <c r="F56" i="2"/>
  <c r="L55" i="2"/>
  <c r="K55" i="2"/>
  <c r="J55" i="2"/>
  <c r="I55" i="2"/>
  <c r="H55" i="2"/>
  <c r="G55" i="2"/>
  <c r="F55" i="2"/>
  <c r="L54" i="2"/>
  <c r="K54" i="2"/>
  <c r="J54" i="2"/>
  <c r="I54" i="2"/>
  <c r="H54" i="2"/>
  <c r="G54" i="2"/>
  <c r="F54" i="2"/>
  <c r="L53" i="2"/>
  <c r="K53" i="2"/>
  <c r="J53" i="2"/>
  <c r="I53" i="2"/>
  <c r="H53" i="2"/>
  <c r="G53" i="2"/>
  <c r="F53" i="2"/>
  <c r="L52" i="2"/>
  <c r="K52" i="2"/>
  <c r="J52" i="2"/>
  <c r="I52" i="2"/>
  <c r="H52" i="2"/>
  <c r="G52" i="2"/>
  <c r="F52" i="2"/>
  <c r="L51" i="2"/>
  <c r="K51" i="2"/>
  <c r="J51" i="2"/>
  <c r="I51" i="2"/>
  <c r="H51" i="2"/>
  <c r="G51" i="2"/>
  <c r="F51" i="2"/>
  <c r="L50" i="2"/>
  <c r="K50" i="2"/>
  <c r="J50" i="2"/>
  <c r="I50" i="2"/>
  <c r="H50" i="2"/>
  <c r="G50" i="2"/>
  <c r="F50" i="2"/>
  <c r="L49" i="2"/>
  <c r="K49" i="2"/>
  <c r="J49" i="2"/>
  <c r="I49" i="2"/>
  <c r="H49" i="2"/>
  <c r="G49" i="2"/>
  <c r="F49" i="2"/>
  <c r="L48" i="2"/>
  <c r="K48" i="2"/>
  <c r="J48" i="2"/>
  <c r="I48" i="2"/>
  <c r="H48" i="2"/>
  <c r="G48" i="2"/>
  <c r="F48" i="2"/>
  <c r="L47" i="2"/>
  <c r="K47" i="2"/>
  <c r="J47" i="2"/>
  <c r="I47" i="2"/>
  <c r="H47" i="2"/>
  <c r="G47" i="2"/>
  <c r="F47" i="2"/>
  <c r="L46" i="2"/>
  <c r="K46" i="2"/>
  <c r="J46" i="2"/>
  <c r="I46" i="2"/>
  <c r="H46" i="2"/>
  <c r="G46" i="2"/>
  <c r="F46" i="2"/>
  <c r="L45" i="2"/>
  <c r="K45" i="2"/>
  <c r="J45" i="2"/>
  <c r="I45" i="2"/>
  <c r="H45" i="2"/>
  <c r="G45" i="2"/>
  <c r="F45" i="2"/>
  <c r="L44" i="2"/>
  <c r="K44" i="2"/>
  <c r="J44" i="2"/>
  <c r="I44" i="2"/>
  <c r="H44" i="2"/>
  <c r="G44" i="2"/>
  <c r="F44" i="2"/>
  <c r="L43" i="2"/>
  <c r="K43" i="2"/>
  <c r="J43" i="2"/>
  <c r="I43" i="2"/>
  <c r="H43" i="2"/>
  <c r="G43" i="2"/>
  <c r="F43" i="2"/>
  <c r="L42" i="2"/>
  <c r="K42" i="2"/>
  <c r="J42" i="2"/>
  <c r="I42" i="2"/>
  <c r="H42" i="2"/>
  <c r="G42" i="2"/>
  <c r="F42" i="2"/>
  <c r="L41" i="2"/>
  <c r="K41" i="2"/>
  <c r="J41" i="2"/>
  <c r="I41" i="2"/>
  <c r="H41" i="2"/>
  <c r="G41" i="2"/>
  <c r="F41" i="2"/>
  <c r="L40" i="2"/>
  <c r="K40" i="2"/>
  <c r="J40" i="2"/>
  <c r="I40" i="2"/>
  <c r="H40" i="2"/>
  <c r="G40" i="2"/>
  <c r="F40" i="2"/>
  <c r="L39" i="2"/>
  <c r="K39" i="2"/>
  <c r="J39" i="2"/>
  <c r="I39" i="2"/>
  <c r="H39" i="2"/>
  <c r="G39" i="2"/>
  <c r="F39" i="2"/>
  <c r="L38" i="2"/>
  <c r="K38" i="2"/>
  <c r="J38" i="2"/>
  <c r="I38" i="2"/>
  <c r="H38" i="2"/>
  <c r="G38" i="2"/>
  <c r="F38" i="2"/>
  <c r="L37" i="2"/>
  <c r="K37" i="2"/>
  <c r="J37" i="2"/>
  <c r="I37" i="2"/>
  <c r="H37" i="2"/>
  <c r="G37" i="2"/>
  <c r="F37" i="2"/>
  <c r="L36" i="2"/>
  <c r="K36" i="2"/>
  <c r="J36" i="2"/>
  <c r="I36" i="2"/>
  <c r="H36" i="2"/>
  <c r="G36" i="2"/>
  <c r="F36" i="2"/>
  <c r="L35" i="2"/>
  <c r="K35" i="2"/>
  <c r="J35" i="2"/>
  <c r="I35" i="2"/>
  <c r="H35" i="2"/>
  <c r="G35" i="2"/>
  <c r="F35" i="2"/>
  <c r="L34" i="2"/>
  <c r="K34" i="2"/>
  <c r="J34" i="2"/>
  <c r="I34" i="2"/>
  <c r="H34" i="2"/>
  <c r="G34" i="2"/>
  <c r="F34" i="2"/>
  <c r="L33" i="2"/>
  <c r="K33" i="2"/>
  <c r="J33" i="2"/>
  <c r="I33" i="2"/>
  <c r="H33" i="2"/>
  <c r="G33" i="2"/>
  <c r="F33" i="2"/>
  <c r="L32" i="2"/>
  <c r="K32" i="2"/>
  <c r="J32" i="2"/>
  <c r="I32" i="2"/>
  <c r="H32" i="2"/>
  <c r="G32" i="2"/>
  <c r="F32" i="2"/>
  <c r="L31" i="2"/>
  <c r="K31" i="2"/>
  <c r="J31" i="2"/>
  <c r="I31" i="2"/>
  <c r="H31" i="2"/>
  <c r="G31" i="2"/>
  <c r="F31" i="2"/>
  <c r="L30" i="2"/>
  <c r="K30" i="2"/>
  <c r="J30" i="2"/>
  <c r="I30" i="2"/>
  <c r="H30" i="2"/>
  <c r="G30" i="2"/>
  <c r="F30" i="2"/>
  <c r="L29" i="2"/>
  <c r="K29" i="2"/>
  <c r="J29" i="2"/>
  <c r="I29" i="2"/>
  <c r="H29" i="2"/>
  <c r="G29" i="2"/>
  <c r="F29" i="2"/>
  <c r="L28" i="2"/>
  <c r="K28" i="2"/>
  <c r="J28" i="2"/>
  <c r="I28" i="2"/>
  <c r="H28" i="2"/>
  <c r="G28" i="2"/>
  <c r="F28" i="2"/>
  <c r="L27" i="2"/>
  <c r="K27" i="2"/>
  <c r="J27" i="2"/>
  <c r="I27" i="2"/>
  <c r="H27" i="2"/>
  <c r="G27" i="2"/>
  <c r="F27" i="2"/>
  <c r="L26" i="2"/>
  <c r="K26" i="2"/>
  <c r="J26" i="2"/>
  <c r="I26" i="2"/>
  <c r="H26" i="2"/>
  <c r="G26" i="2"/>
  <c r="F26" i="2"/>
  <c r="L25" i="2"/>
  <c r="K25" i="2"/>
  <c r="J25" i="2"/>
  <c r="I25" i="2"/>
  <c r="H25" i="2"/>
  <c r="G25" i="2"/>
  <c r="F25" i="2"/>
  <c r="L24" i="2"/>
  <c r="K24" i="2"/>
  <c r="J24" i="2"/>
  <c r="I24" i="2"/>
  <c r="H24" i="2"/>
  <c r="G24" i="2"/>
  <c r="F24" i="2"/>
  <c r="L23" i="2"/>
  <c r="K23" i="2"/>
  <c r="J23" i="2"/>
  <c r="I23" i="2"/>
  <c r="H23" i="2"/>
  <c r="G23" i="2"/>
  <c r="F23" i="2"/>
  <c r="L22" i="2"/>
  <c r="K22" i="2"/>
  <c r="J22" i="2"/>
  <c r="I22" i="2"/>
  <c r="H22" i="2"/>
  <c r="G22" i="2"/>
  <c r="F22" i="2"/>
  <c r="L21" i="2"/>
  <c r="K21" i="2"/>
  <c r="J21" i="2"/>
  <c r="I21" i="2"/>
  <c r="H21" i="2"/>
  <c r="G21" i="2"/>
  <c r="F21" i="2"/>
  <c r="L20" i="2"/>
  <c r="K20" i="2"/>
  <c r="J20" i="2"/>
  <c r="I20" i="2"/>
  <c r="H20" i="2"/>
  <c r="F20" i="2"/>
  <c r="G20" i="2" s="1"/>
  <c r="L19" i="2"/>
  <c r="K19" i="2"/>
  <c r="J19" i="2"/>
  <c r="I19" i="2"/>
  <c r="H19" i="2"/>
  <c r="G19" i="2"/>
  <c r="F19" i="2"/>
  <c r="L18" i="2"/>
  <c r="K18" i="2"/>
  <c r="J18" i="2"/>
  <c r="I18" i="2"/>
  <c r="H18" i="2"/>
  <c r="G18" i="2"/>
  <c r="F18" i="2"/>
  <c r="L17" i="2"/>
  <c r="K17" i="2"/>
  <c r="J17" i="2"/>
  <c r="I17" i="2"/>
  <c r="H17" i="2"/>
  <c r="G17" i="2"/>
  <c r="F17" i="2"/>
  <c r="L16" i="2"/>
  <c r="K16" i="2"/>
  <c r="J16" i="2"/>
  <c r="I16" i="2"/>
  <c r="H16" i="2"/>
  <c r="G16" i="2"/>
  <c r="F16" i="2"/>
  <c r="L15" i="2"/>
  <c r="K15" i="2"/>
  <c r="J15" i="2"/>
  <c r="I15" i="2"/>
  <c r="H15" i="2"/>
  <c r="G15" i="2"/>
  <c r="F15" i="2"/>
  <c r="L14" i="2"/>
  <c r="K14" i="2"/>
  <c r="J14" i="2"/>
  <c r="I14" i="2"/>
  <c r="H14" i="2"/>
  <c r="G14" i="2"/>
  <c r="F14" i="2"/>
  <c r="L13" i="2"/>
  <c r="K13" i="2"/>
  <c r="J13" i="2"/>
  <c r="I13" i="2"/>
  <c r="H13" i="2"/>
  <c r="G13" i="2"/>
  <c r="F13" i="2"/>
  <c r="L12" i="2"/>
  <c r="K12" i="2"/>
  <c r="J12" i="2"/>
  <c r="I12" i="2"/>
  <c r="H12" i="2"/>
  <c r="G12" i="2"/>
  <c r="F12" i="2"/>
  <c r="L11" i="2"/>
  <c r="K11" i="2"/>
  <c r="J11" i="2"/>
  <c r="I11" i="2"/>
  <c r="H11" i="2"/>
  <c r="G11" i="2"/>
  <c r="F11" i="2"/>
  <c r="L10" i="2"/>
  <c r="K10" i="2"/>
  <c r="J10" i="2"/>
  <c r="I10" i="2"/>
  <c r="H10" i="2"/>
  <c r="G10" i="2"/>
  <c r="F10" i="2"/>
  <c r="L9" i="2"/>
  <c r="K9" i="2"/>
  <c r="J9" i="2"/>
  <c r="I9" i="2"/>
  <c r="H9" i="2"/>
  <c r="G9" i="2"/>
  <c r="F9" i="2"/>
  <c r="L8" i="2"/>
  <c r="K8" i="2"/>
  <c r="J8" i="2"/>
  <c r="I8" i="2"/>
  <c r="H8" i="2"/>
  <c r="G8" i="2"/>
  <c r="F8" i="2"/>
  <c r="L7" i="2"/>
  <c r="K7" i="2"/>
  <c r="J7" i="2"/>
  <c r="I7" i="2"/>
  <c r="H7" i="2"/>
  <c r="G7" i="2"/>
  <c r="F7" i="2"/>
  <c r="L6" i="2"/>
  <c r="K6" i="2"/>
  <c r="J6" i="2"/>
  <c r="I6" i="2"/>
  <c r="H6" i="2"/>
  <c r="G6" i="2"/>
  <c r="F6" i="2"/>
  <c r="L5" i="2"/>
  <c r="K5" i="2"/>
  <c r="J5" i="2"/>
  <c r="I5" i="2"/>
  <c r="H5" i="2"/>
  <c r="G5" i="2"/>
  <c r="F5" i="2"/>
  <c r="L4" i="2"/>
  <c r="K4" i="2"/>
  <c r="J4" i="2"/>
  <c r="I4" i="2"/>
  <c r="H4" i="2"/>
  <c r="G4" i="2"/>
  <c r="F4" i="2"/>
  <c r="L3" i="2"/>
  <c r="K3" i="2"/>
  <c r="J3" i="2"/>
  <c r="I3" i="2"/>
  <c r="H3" i="2"/>
  <c r="G3" i="2"/>
  <c r="F3" i="2"/>
  <c r="F34" i="1"/>
  <c r="G4" i="1"/>
  <c r="B38" i="1"/>
  <c r="B28" i="1"/>
  <c r="B29" i="1"/>
  <c r="B30" i="1"/>
  <c r="D28" i="1"/>
  <c r="H29" i="1"/>
  <c r="H30" i="1"/>
  <c r="H31" i="1"/>
  <c r="H28" i="1"/>
  <c r="A39" i="1"/>
  <c r="E30" i="1"/>
  <c r="E29" i="1"/>
  <c r="B9" i="1"/>
  <c r="B31" i="1" s="1"/>
  <c r="E9" i="1"/>
  <c r="E31" i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<sst xmlns="http://schemas.openxmlformats.org/spreadsheetml/2006/main" count="377" uniqueCount="166">
  <si>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</si>
  <si>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</si>
  <si>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</si>
  <si>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</si>
  <si>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</si>
  <si>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</si>
  <si>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</si>
  <si>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</si>
  <si>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</si>
  <si>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</si>
  <si>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</si>
  <si>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31/10/2025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</si>
  <si>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</si>
  <si>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</si>
  <si>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</si>
  <si>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</si>
  <si>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</si>
  <si>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</si>
  <si>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</si>
  <si>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</si>
  <si>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</si>
  <si>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</si>
  <si>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</si>
  <si>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</si>
  <si>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</si>
  <si>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</si>
  <si>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Cristina Pucha</t>
  </si>
  <si>
    <t>SERVIDOR(A)</t>
  </si>
  <si>
    <t>DIRECTOR(A)</t>
  </si>
  <si>
    <t>DIRECCION ADMINISTRATIVA</t>
  </si>
  <si>
    <r>
      <t xml:space="preserve">NOTA: </t>
    </r>
    <r>
      <rPr>
        <sz val="7"/>
        <color indexed="8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</si>
  <si>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</si>
  <si>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</si>
  <si>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</si>
  <si>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</si>
  <si>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</si>
  <si>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</si>
  <si>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</si>
  <si>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</si>
  <si>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</si>
  <si>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</si>
  <si>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</si>
  <si>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</si>
  <si>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</si>
  <si>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</si>
  <si>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</si>
  <si>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</si>
  <si>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</si>
  <si>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</si>
  <si>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</si>
  <si>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</si>
  <si>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</si>
  <si>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</si>
  <si>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</si>
  <si>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 xml:space="preserve">Dirección de Vialidad, Infraestructura, Riego y Drenaje </t>
  </si>
  <si>
    <t>Jeanine Alvear</t>
  </si>
  <si>
    <t>Dirección de Fomento Productivo</t>
  </si>
  <si>
    <t>María José Almache</t>
  </si>
  <si>
    <t>Paola Cadena</t>
  </si>
  <si>
    <t>Dirección de Proyectos, Seguimiento y Monitoreo</t>
  </si>
  <si>
    <t>Gabriela Banda</t>
  </si>
  <si>
    <t>Dirección de Asesoría Jurídica</t>
  </si>
  <si>
    <t>Antonieta Araujo</t>
  </si>
  <si>
    <t>Jenny Carrillo</t>
  </si>
  <si>
    <t>Dirección de Planificación</t>
  </si>
  <si>
    <t>Viviana De la Cadena</t>
  </si>
  <si>
    <t>Dirección de Cooperación</t>
  </si>
  <si>
    <t>Lorena Erazo</t>
  </si>
  <si>
    <t>Victoria Guerra</t>
  </si>
  <si>
    <t>Dirección Financiera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</si>
  <si>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</si>
  <si>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</si>
  <si>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</si>
  <si>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</si>
  <si>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</si>
  <si>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</si>
  <si>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Direcció de Fomento Productivo</t>
  </si>
  <si>
    <t>Verónica Marchán</t>
  </si>
  <si>
    <t>Byron Mera</t>
  </si>
  <si>
    <t>Mónica Muñoz</t>
  </si>
  <si>
    <t>Sandra Negrete</t>
  </si>
  <si>
    <t>Joe Ortiz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</si>
  <si>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</si>
  <si>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</si>
  <si>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</si>
  <si>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</si>
  <si>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</si>
  <si>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</si>
  <si>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</si>
  <si>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 / Dirección Administrativa</t>
  </si>
  <si>
    <t>David Sánchez</t>
  </si>
  <si>
    <t>María Toapanta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</si>
  <si>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</si>
  <si>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</si>
  <si>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</si>
  <si>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</si>
  <si>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</si>
  <si>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</si>
  <si>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</si>
  <si>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</si>
  <si>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</si>
  <si>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</si>
  <si>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</si>
  <si>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</si>
  <si>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</si>
  <si>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</si>
  <si>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</si>
  <si>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</si>
  <si>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</si>
  <si>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Pedro Díaz</t>
  </si>
  <si>
    <t>Luis Santiana</t>
  </si>
  <si>
    <t>Byron Díaz</t>
  </si>
  <si>
    <t>Diana Pérez</t>
  </si>
  <si>
    <t>Henry Moreira.</t>
  </si>
  <si>
    <t>Evelyn Eche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</si>
  <si>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</si>
  <si>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</si>
  <si>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</si>
  <si>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</si>
  <si>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</si>
  <si>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</si>
  <si>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César Ramos</t>
  </si>
  <si>
    <t>Rocío Granda</t>
  </si>
  <si>
    <t>Norma Arcos</t>
  </si>
  <si>
    <t>Javier Chillogallo</t>
  </si>
  <si>
    <t>Guillermo Salazar</t>
  </si>
  <si>
    <t>Liliana Márquez</t>
  </si>
  <si>
    <t>Lady Cedeño</t>
  </si>
  <si>
    <t>Lizeth Piedra</t>
  </si>
  <si>
    <t>Presidencia</t>
  </si>
  <si>
    <t>José Amaya</t>
  </si>
  <si>
    <t>José Luis López</t>
  </si>
  <si>
    <t>Dirección de planificación</t>
  </si>
  <si>
    <t>Silvia Rodríguez</t>
  </si>
  <si>
    <t>Diana Salguero</t>
  </si>
  <si>
    <t>Unidad de Gestión Social</t>
  </si>
  <si>
    <t>Mayra Vernaza</t>
  </si>
  <si>
    <t>Andrés Baez</t>
  </si>
  <si>
    <t>Rodrigo Valenzuela</t>
  </si>
  <si>
    <t>María Fernanda Zurita</t>
  </si>
  <si>
    <t>Alejandro Morocho</t>
  </si>
  <si>
    <t>Matthew Armijos</t>
  </si>
  <si>
    <t>Danixa Calderón</t>
  </si>
  <si>
    <t>Carlos Pabón</t>
  </si>
  <si>
    <t>Lisbeth Ortiz</t>
  </si>
  <si>
    <t>Cristhian Duma</t>
  </si>
  <si>
    <t>Jhonathan Rojas</t>
  </si>
  <si>
    <t>Ricardo Villarreal</t>
  </si>
  <si>
    <t>Ángela Calderón</t>
  </si>
  <si>
    <t>Marcelo Vaca</t>
  </si>
  <si>
    <t>Cristina Buenaño</t>
  </si>
  <si>
    <t>Marcelo Armas</t>
  </si>
  <si>
    <t>Cristhopher Brito</t>
  </si>
  <si>
    <t>Carla Niama</t>
  </si>
  <si>
    <t>Sandra Pinto</t>
  </si>
  <si>
    <t>Cristina Hugo</t>
  </si>
  <si>
    <t>Liliana Tapia</t>
  </si>
  <si>
    <t>Dirección de Planificación y Desarrollo Territorial</t>
  </si>
  <si>
    <t>Direcció de Planificación y Desarrollo Territorial</t>
  </si>
  <si>
    <t>Andrea Guamba</t>
  </si>
  <si>
    <t>Fernando Viteri</t>
  </si>
  <si>
    <t>Carlos Játiva</t>
  </si>
  <si>
    <t>Radharani Dasi</t>
  </si>
  <si>
    <t>Santiago Andrade</t>
  </si>
  <si>
    <t>Nayelhi Córdova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</si>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</sst>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4" x14ac:knownFonts="1">
    <font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2" borderId="0" xfId="0" applyFont="1" applyFill="1" applyAlignment="1">
      <alignment vertical="center" wrapText="1"/>
    </xf>
    <xf numFmtId="2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0" fillId="2" borderId="0" xfId="0" applyFill="1"/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2" borderId="0" xfId="0" applyFont="1" applyFill="1" applyAlignment="1">
      <alignment horizontal="center" wrapText="1"/>
    </xf>
    <xf numFmtId="0" fontId="4" fillId="0" borderId="2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 applyProtection="1">
      <alignment vertical="center" wrapText="1"/>
      <protection locked="0"/>
    </xf>
    <xf numFmtId="0" fontId="5" fillId="0" borderId="8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49" xfId="0" applyFont="1" applyBorder="1"/>
    <xf numFmtId="0" fontId="11" fillId="0" borderId="49" xfId="0" applyFont="1" applyBorder="1" applyAlignment="1">
      <alignment horizontal="center" vertical="center"/>
    </xf>
    <xf numFmtId="1" fontId="11" fillId="0" borderId="49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5" fillId="0" borderId="29" xfId="0" applyFont="1" applyBorder="1" applyAlignment="1">
      <alignment horizontal="right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22" fontId="3" fillId="0" borderId="32" xfId="0" applyNumberFormat="1" applyFont="1" applyBorder="1" applyAlignment="1">
      <alignment horizontal="center" vertical="center" wrapText="1"/>
    </xf>
    <xf numFmtId="22" fontId="3" fillId="0" borderId="33" xfId="0" applyNumberFormat="1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9" fillId="0" borderId="42" xfId="0" applyFont="1" applyBorder="1" applyAlignment="1" applyProtection="1">
      <alignment horizontal="center" vertical="center" wrapText="1"/>
      <protection locked="0"/>
    </xf>
    <xf numFmtId="0" fontId="9" fillId="0" borderId="41" xfId="0" applyFont="1" applyBorder="1" applyAlignment="1" applyProtection="1">
      <alignment horizontal="center" vertical="center" wrapText="1"/>
      <protection locked="0"/>
    </xf>
    <xf numFmtId="0" fontId="3" fillId="0" borderId="43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20" fontId="3" fillId="0" borderId="17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64" fontId="0" fillId="6" borderId="9" xfId="0" applyNumberFormat="1" applyFill="1" applyBorder="1" applyAlignment="1" applyProtection="1">
      <alignment horizontal="center" vertical="center"/>
      <protection locked="0"/>
    </xf>
    <xf numFmtId="164" fontId="0" fillId="6" borderId="2" xfId="0" applyNumberFormat="1" applyFill="1" applyBorder="1" applyAlignment="1" applyProtection="1">
      <alignment horizontal="center" vertical="center"/>
      <protection locked="0"/>
    </xf>
    <xf numFmtId="0" fontId="3" fillId="0" borderId="44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20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24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42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41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0" fontId="3" fillId="0" borderId="17" xfId="0" applyNumberFormat="1" applyFont="1" applyBorder="1" applyAlignment="1" applyProtection="1">
      <alignment horizontal="center" vertical="center" wrapText="1"/>
      <protection locked="0"/>
    </xf>
    <xf numFmtId="14" fontId="3" fillId="0" borderId="38" xfId="0" applyNumberFormat="1" applyFont="1" applyBorder="1" applyAlignment="1" applyProtection="1">
      <alignment horizontal="center" vertical="center" wrapText="1"/>
      <protection locked="0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77731D1-F99A-4709-C26C-BABBEC984CF2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 editAs="oneCell">
    <xdr:from>
      <xdr:col>2</xdr:col>
      <xdr:colOff>190500</xdr:colOff>
      <xdr:row>0</xdr:row>
      <xdr:rowOff>142875</xdr:rowOff>
    </xdr:from>
    <xdr:to>
      <xdr:col>5</xdr:col>
      <xdr:colOff>742950</xdr:colOff>
      <xdr:row>0</xdr:row>
      <xdr:rowOff>828675</xdr:rowOff>
    </xdr:to>
    <xdr:pic>
      <xdr:nvPicPr>
        <xdr:cNvPr id="1047" name="Imagen 2">
          <a:extLst>
            <a:ext uri="{FF2B5EF4-FFF2-40B4-BE49-F238E27FC236}">
              <a16:creationId xmlns:a16="http://schemas.microsoft.com/office/drawing/2014/main" id="{E5C3F921-A8FB-337B-BF01-BA64DD7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42875"/>
          <a:ext cx="3343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619125</xdr:rowOff>
    </xdr:from>
    <xdr:to>
      <xdr:col>6</xdr:col>
      <xdr:colOff>123825</xdr:colOff>
      <xdr:row>22</xdr:row>
      <xdr:rowOff>142876</xdr:rowOff>
    </xdr:to>
    <xdr:pic>
      <xdr:nvPicPr>
        <xdr:cNvPr id="1048" name="Imagen 3">
          <a:extLst>
            <a:ext uri="{FF2B5EF4-FFF2-40B4-BE49-F238E27FC236}">
              <a16:creationId xmlns:a16="http://schemas.microsoft.com/office/drawing/2014/main" id="{881302E0-1587-A570-1C6F-4D161C4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010400"/>
          <a:ext cx="3352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ngopegobec-my.sharepoint.com/personal/msalgado_congope_gob_ec/Documents/CONGOPE%201/CONGOPE%202025/VACACIONES/Matriz%20Ingreso%20de%20permisos%20y%20vacaciones%20%202022-ALLUMIQUINGA-L1-2.xlsx" TargetMode="External"/><Relationship Id="rId1" Type="http://schemas.openxmlformats.org/officeDocument/2006/relationships/externalLinkPath" Target="https://congopegobec-my.sharepoint.com/personal/msalgado_congope_gob_ec/Documents/CONGOPE%201/CONGOPE%202025/VACACIONES/Matriz%20Ingreso%20de%20permisos%20y%20vacaciones%20%202022-ALLUMIQUINGA-L1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ía José Almache"/>
      <sheetName val="Jeanine Alvear"/>
      <sheetName val="José Andrade"/>
      <sheetName val="Antonieta Araujo"/>
      <sheetName val="Gabriela Banda"/>
      <sheetName val="Paola Cadena"/>
      <sheetName val="Jenny Carrillo"/>
      <sheetName val="Viviana de la Cadena"/>
      <sheetName val="Mabel Córdova"/>
      <sheetName val="Lorena Erazo"/>
      <sheetName val="Victoria Guerra"/>
      <sheetName val="Renan Guerrero"/>
      <sheetName val="Henrry Guzman"/>
      <sheetName val="Lenin Illapa"/>
      <sheetName val="Wilson Lechon"/>
      <sheetName val="Maria Elena Llerena"/>
      <sheetName val="Alejandra Mendieta"/>
      <sheetName val="Verónica Marchan"/>
      <sheetName val="Byron Mera"/>
      <sheetName val="Mónica Muñoz"/>
      <sheetName val="Sandra Negrete"/>
      <sheetName val="Joe Ortiz"/>
      <sheetName val="María Dolores Ponce"/>
      <sheetName val="Johanna Portilla"/>
      <sheetName val="Cristina Pucha"/>
      <sheetName val="Teresa Rea"/>
      <sheetName val="Idilia Reinoso"/>
      <sheetName val="Fabian Romero"/>
      <sheetName val="Darwin Ruilova"/>
      <sheetName val="Mario Saenz"/>
      <sheetName val="Marilin Salgado"/>
      <sheetName val="David Sánchez"/>
      <sheetName val="María Toapanta"/>
      <sheetName val="Lucrecia Torres"/>
      <sheetName val="Katty Toscano"/>
      <sheetName val="Natalia Valverde"/>
      <sheetName val="Alondra Yepez"/>
      <sheetName val="Andrés Zambrano"/>
      <sheetName val="Ana Zambrano"/>
      <sheetName val="Dany Arias"/>
      <sheetName val="José García"/>
      <sheetName val="William Escobar"/>
      <sheetName val="Marcelo Maldonado"/>
      <sheetName val="Santiago Saltos"/>
      <sheetName val="Humberto Ordoñez"/>
      <sheetName val="Victor Caisapanta"/>
      <sheetName val="Amelia Ullco"/>
      <sheetName val="Gabriela Díaz"/>
      <sheetName val="Christian Herrera"/>
      <sheetName val="Andrés Jaramillo"/>
      <sheetName val="Pedro Díaz"/>
      <sheetName val="Luis Santiana"/>
      <sheetName val="Byron Díaz"/>
      <sheetName val="Diana Pérez"/>
      <sheetName val="Henry Moreira"/>
      <sheetName val="Henry Moreira."/>
      <sheetName val="Evelyn Eche"/>
      <sheetName val="Santiago Cañar"/>
      <sheetName val="Paulina Román"/>
      <sheetName val="Walter Morante"/>
      <sheetName val="Diego Sáenz"/>
      <sheetName val="Wiliam Salazar"/>
      <sheetName val="Natalia Jiménez"/>
      <sheetName val="Héctor Valladarez"/>
      <sheetName val="César Ramos"/>
      <sheetName val="Rocío Granda"/>
      <sheetName val="Norma Arcos"/>
      <sheetName val="Javier Chillogallo"/>
      <sheetName val="Marcelo Torres"/>
      <sheetName val="Guillermo Salazar"/>
      <sheetName val="Liliana Marquez"/>
      <sheetName val="Lady Cedeño"/>
      <sheetName val="Lizeth Piedra"/>
      <sheetName val="José Amaya"/>
      <sheetName val="María Fernando Zurita"/>
      <sheetName val="José Luis López"/>
      <sheetName val="Diana Salguero"/>
      <sheetName val="Jhonathan Rojas"/>
      <sheetName val="Silvia Rodríguez"/>
      <sheetName val="Mayra Vernaza"/>
      <sheetName val="Rodrigo Valenzuela"/>
      <sheetName val="María Fernanda Zurita"/>
      <sheetName val="Alejandro Morocho"/>
      <sheetName val="Danixa Calderón"/>
      <sheetName val="Matthew Armijos"/>
      <sheetName val="Fernando Viteri"/>
      <sheetName val="Cristhian Duma"/>
      <sheetName val="Andrés Baez"/>
      <sheetName val="Lisbeth Ortiz"/>
      <sheetName val="Carlos Pabón"/>
      <sheetName val="Ricardo Villarreal"/>
      <sheetName val="Marcelo Vaca"/>
      <sheetName val="Ángela Calderón"/>
      <sheetName val="Cristina Buenaño"/>
      <sheetName val="Marcelo Armas"/>
      <sheetName val="Cristhopher Brito"/>
      <sheetName val="Carla Niama"/>
      <sheetName val="Sandra Pinto.."/>
      <sheetName val="Cristina Hugo"/>
      <sheetName val="Liliana Tapia"/>
      <sheetName val="Andrea Guamba"/>
      <sheetName val="Carlos Játiva"/>
      <sheetName val="Radharani Dasi"/>
      <sheetName val="Santiago Andrade"/>
      <sheetName val="Nayelhi Córdova"/>
      <sheetName val="Resumen Vacaciones"/>
      <sheetName val="Incluidos personal cesante"/>
      <sheetName val="Mishell Mera"/>
      <sheetName val="María José Chancay"/>
      <sheetName val="Edwin Miño"/>
      <sheetName val="William Molina"/>
      <sheetName val="Fausto Romero "/>
      <sheetName val="Reinaldo Velez"/>
      <sheetName val="Pedro Saenz"/>
      <sheetName val="César Chamorro"/>
      <sheetName val="Rocío Alomia"/>
      <sheetName val="Maria Jose Vidal"/>
      <sheetName val="Sebastian Rosales"/>
      <sheetName val="Diana Calero"/>
      <sheetName val="Jessica López"/>
      <sheetName val="Carolina Placencia"/>
      <sheetName val="Angel Medina"/>
      <sheetName val="Mariela Segovia"/>
      <sheetName val="Ana Tenelema"/>
      <sheetName val="Luis Ochoa"/>
      <sheetName val="Patricio Araque"/>
      <sheetName val="Melania Intriago"/>
      <sheetName val="Juan Sebastian Chaves "/>
      <sheetName val="Sisa Guamán"/>
      <sheetName val="Orlando Guachamin"/>
      <sheetName val="María José Pérez"/>
      <sheetName val="Gabriela Zuquilanda"/>
      <sheetName val="Pamela Cardona"/>
      <sheetName val="Edwin González"/>
      <sheetName val="Giovani Sevilla"/>
      <sheetName val="Marieta Molina"/>
      <sheetName val="Lizeth Alvarado"/>
      <sheetName val="Marcelita Arroyo"/>
      <sheetName val="Gabriela Alarcón"/>
      <sheetName val="Gema Ñaupari"/>
      <sheetName val="Gilma Sagbay"/>
      <sheetName val="Milton Fuelantala"/>
      <sheetName val="René Larenas"/>
      <sheetName val="Andrés Saltos"/>
      <sheetName val="María Fernanda Merchán"/>
      <sheetName val="Nicolas Jaramillo"/>
      <sheetName val="Diego Gordillo"/>
      <sheetName val="Juan Haro"/>
      <sheetName val="Isabel Proaño"/>
      <sheetName val="Gabriel Zurita"/>
      <sheetName val="Sebastián Balda"/>
      <sheetName val="Jennifer Herrera"/>
      <sheetName val="Nelson Vinueza"/>
      <sheetName val="Andrea Cevallos"/>
      <sheetName val="Sofía Reyna"/>
      <sheetName val="Andrés Arboleda"/>
      <sheetName val="Juan Carlos Andrade"/>
      <sheetName val="Luz Irene Pinto"/>
      <sheetName val="Jenny Viracocha"/>
      <sheetName val="Angel Armijos"/>
      <sheetName val="Jaime Salazar"/>
      <sheetName val="Lizbeth Pérez"/>
      <sheetName val="Marcela Chávez"/>
      <sheetName val="Javier Orti"/>
      <sheetName val="Galo Cárdenas"/>
      <sheetName val="Danilo Arévalo"/>
      <sheetName val="Francisco Alencastro"/>
      <sheetName val="Paolo Vallejo"/>
      <sheetName val="Pamela Velásquez"/>
      <sheetName val="Agustín Chiriboga"/>
      <sheetName val="Jofre Lastra"/>
      <sheetName val="Daniela Acevedo"/>
      <sheetName val="José Luis Mena"/>
      <sheetName val="Olga Guandinango"/>
      <sheetName val="Indira Cedeño"/>
      <sheetName val="Roberto Segovia"/>
      <sheetName val="Fausto Munzon"/>
      <sheetName val="Sofía Ribadeneira"/>
      <sheetName val="Fernanda Llumiquinga"/>
      <sheetName val="Javier Idrovo"/>
      <sheetName val="Estefanía Aguila"/>
      <sheetName val="Sandra Pinto"/>
      <sheetName val="Verónica Rengel"/>
      <sheetName val="Giovanni Egas"/>
      <sheetName val="Cristina Mera"/>
      <sheetName val="Robi Yánez"/>
      <sheetName val="Daniel Tapia"/>
      <sheetName val="Ibeth Paucar"/>
      <sheetName val="Carlos Arce"/>
      <sheetName val="Ana María Larrea"/>
      <sheetName val="Hernán Castillo"/>
      <sheetName val="Marcela Andino"/>
      <sheetName val="Wilver Ruiz"/>
      <sheetName val="Andrés Viera"/>
      <sheetName val="Juan Carlos Pilco"/>
      <sheetName val="Vinicio Rodriguez"/>
      <sheetName val="Marco Chalco"/>
      <sheetName val="Edwin Bustamante"/>
      <sheetName val="Fidel Acero"/>
      <sheetName val="Gabriela Galindo"/>
      <sheetName val="Christopher Riofrio"/>
      <sheetName val="Graciela Baquero"/>
      <sheetName val="Renato García"/>
      <sheetName val="Oscar Valencia."/>
      <sheetName val="Edison Carate"/>
      <sheetName val="Juan Carlos Salvador"/>
      <sheetName val="Johanna Delgado"/>
      <sheetName val="Carolina Estrella"/>
      <sheetName val="Marisol León"/>
      <sheetName val="Prisila Salazar"/>
      <sheetName val="Juan Carlos Torres"/>
      <sheetName val="Katherine Vásquez"/>
      <sheetName val="Gianpaolo Franke"/>
      <sheetName val="Raúl Mena"/>
      <sheetName val="Sandra Pinto."/>
      <sheetName val="Manuela Troya"/>
      <sheetName val="María Fernando Durán"/>
      <sheetName val="Katherin Guaygua"/>
      <sheetName val="Nicole Pacheco"/>
      <sheetName val="Mauro Baquero"/>
      <sheetName val="Miguel Viera"/>
      <sheetName val="Mayra Arias"/>
      <sheetName val="Mauricio Gaibor"/>
      <sheetName val="Gabriela Arias"/>
      <sheetName val="Katia Fustillos "/>
      <sheetName val="Victoria Camacho"/>
      <sheetName val="Carmen Imbaquingo"/>
      <sheetName val="Jhonatan Suárez"/>
      <sheetName val="Gustavo Guaman"/>
      <sheetName val="Andrés López"/>
      <sheetName val="Maria Cristina Arias"/>
      <sheetName val="Sandra Moreno"/>
      <sheetName val="María Elena Cuvi"/>
      <sheetName val="Oscar Valencia"/>
      <sheetName val="Verónica Ayala"/>
      <sheetName val="Jorge Jaguaco"/>
      <sheetName val="Pilar Lascano"/>
      <sheetName val="Jorge Luis Ruiz"/>
      <sheetName val="Katherine Chala"/>
    </sheetNames>
    <sheetDataSet>
      <sheetData sheetId="0">
        <row r="5">
          <cell r="D5">
            <v>146</v>
          </cell>
          <cell r="E5">
            <v>0</v>
          </cell>
          <cell r="F5">
            <v>17.999999999997272</v>
          </cell>
        </row>
        <row r="6">
          <cell r="D6">
            <v>13</v>
          </cell>
          <cell r="E6">
            <v>1</v>
          </cell>
          <cell r="F6">
            <v>1.9999999999163265</v>
          </cell>
          <cell r="G6">
            <v>17.727272727272727</v>
          </cell>
        </row>
      </sheetData>
      <sheetData sheetId="1">
        <row r="6">
          <cell r="D6">
            <v>161</v>
          </cell>
          <cell r="E6">
            <v>0</v>
          </cell>
          <cell r="F6">
            <v>28.000000000001819</v>
          </cell>
        </row>
        <row r="7">
          <cell r="D7">
            <v>21</v>
          </cell>
          <cell r="E7">
            <v>4</v>
          </cell>
          <cell r="F7">
            <v>51.999999999911779</v>
          </cell>
          <cell r="G7">
            <v>28.636363636363637</v>
          </cell>
        </row>
      </sheetData>
      <sheetData sheetId="2">
        <row r="5">
          <cell r="D5">
            <v>150</v>
          </cell>
          <cell r="E5">
            <v>7</v>
          </cell>
          <cell r="F5">
            <v>48.999999999996362</v>
          </cell>
        </row>
        <row r="6">
          <cell r="D6">
            <v>20</v>
          </cell>
          <cell r="E6">
            <v>1</v>
          </cell>
          <cell r="F6">
            <v>30.999999999917236</v>
          </cell>
          <cell r="G6">
            <v>27.272727272727273</v>
          </cell>
        </row>
      </sheetData>
      <sheetData sheetId="3">
        <row r="6">
          <cell r="D6">
            <v>122</v>
          </cell>
          <cell r="E6">
            <v>0</v>
          </cell>
          <cell r="F6">
            <v>30.999999999999091</v>
          </cell>
        </row>
        <row r="7">
          <cell r="D7">
            <v>28</v>
          </cell>
          <cell r="E7">
            <v>3</v>
          </cell>
          <cell r="F7">
            <v>28.999999999932697</v>
          </cell>
          <cell r="G7">
            <v>38.18181818181818</v>
          </cell>
        </row>
      </sheetData>
      <sheetData sheetId="4">
        <row r="4">
          <cell r="D4">
            <v>89</v>
          </cell>
          <cell r="E4">
            <v>3</v>
          </cell>
          <cell r="F4">
            <v>30.999999999999091</v>
          </cell>
        </row>
        <row r="5">
          <cell r="D5">
            <v>15</v>
          </cell>
          <cell r="E5">
            <v>4</v>
          </cell>
          <cell r="F5">
            <v>44.999999999959073</v>
          </cell>
          <cell r="G5">
            <v>20.454545454545453</v>
          </cell>
        </row>
      </sheetData>
      <sheetData sheetId="5">
        <row r="4">
          <cell r="D4">
            <v>125</v>
          </cell>
          <cell r="E4">
            <v>6</v>
          </cell>
          <cell r="F4">
            <v>50.000000000002274</v>
          </cell>
        </row>
        <row r="5">
          <cell r="D5">
            <v>20</v>
          </cell>
          <cell r="E5">
            <v>3</v>
          </cell>
          <cell r="F5">
            <v>49.999999999920419</v>
          </cell>
          <cell r="G5">
            <v>27.272727272727273</v>
          </cell>
        </row>
      </sheetData>
      <sheetData sheetId="6">
        <row r="4">
          <cell r="D4">
            <v>127</v>
          </cell>
          <cell r="E4">
            <v>0</v>
          </cell>
          <cell r="F4">
            <v>4.0000000000031832</v>
          </cell>
        </row>
        <row r="5">
          <cell r="D5">
            <v>23</v>
          </cell>
          <cell r="E5">
            <v>1</v>
          </cell>
          <cell r="G5">
            <v>31.363636363636363</v>
          </cell>
        </row>
      </sheetData>
      <sheetData sheetId="7">
        <row r="6">
          <cell r="D6">
            <v>158</v>
          </cell>
          <cell r="E6">
            <v>4</v>
          </cell>
          <cell r="F6">
            <v>30.999999999999091</v>
          </cell>
        </row>
        <row r="7">
          <cell r="D7">
            <v>18</v>
          </cell>
          <cell r="E7">
            <v>0</v>
          </cell>
          <cell r="F7">
            <v>48.999999999914507</v>
          </cell>
          <cell r="G7">
            <v>24.545454545454547</v>
          </cell>
        </row>
      </sheetData>
      <sheetData sheetId="8">
        <row r="4">
          <cell r="D4">
            <v>145</v>
          </cell>
          <cell r="E4">
            <v>5</v>
          </cell>
          <cell r="F4">
            <v>56.000000000003638</v>
          </cell>
        </row>
        <row r="5">
          <cell r="D5">
            <v>27</v>
          </cell>
          <cell r="E5">
            <v>4</v>
          </cell>
          <cell r="F5">
            <v>43.999999999932697</v>
          </cell>
          <cell r="G5">
            <v>36.81818181818182</v>
          </cell>
        </row>
      </sheetData>
      <sheetData sheetId="9">
        <row r="6">
          <cell r="D6">
            <v>134</v>
          </cell>
          <cell r="E6">
            <v>0</v>
          </cell>
          <cell r="F6">
            <v>35.999999999994543</v>
          </cell>
        </row>
        <row r="7">
          <cell r="D7">
            <v>39</v>
          </cell>
          <cell r="E7">
            <v>4</v>
          </cell>
          <cell r="F7">
            <v>43.999999999919055</v>
          </cell>
          <cell r="G7">
            <v>53.18181818181818</v>
          </cell>
        </row>
      </sheetData>
      <sheetData sheetId="10">
        <row r="5">
          <cell r="D5">
            <v>154</v>
          </cell>
          <cell r="E5">
            <v>3</v>
          </cell>
          <cell r="F5">
            <v>20.999999999994543</v>
          </cell>
        </row>
        <row r="6">
          <cell r="D6">
            <v>31</v>
          </cell>
          <cell r="E6">
            <v>7</v>
          </cell>
          <cell r="F6">
            <v>18.999999999941792</v>
          </cell>
          <cell r="G6">
            <v>42.272727272727273</v>
          </cell>
        </row>
      </sheetData>
      <sheetData sheetId="11">
        <row r="4">
          <cell r="D4">
            <v>108</v>
          </cell>
          <cell r="E4">
            <v>4</v>
          </cell>
          <cell r="F4">
            <v>52.000000000000455</v>
          </cell>
        </row>
        <row r="5">
          <cell r="D5">
            <v>33</v>
          </cell>
          <cell r="E5">
            <v>1</v>
          </cell>
          <cell r="F5">
            <v>47.999999999908596</v>
          </cell>
          <cell r="G5">
            <v>45</v>
          </cell>
        </row>
      </sheetData>
      <sheetData sheetId="12">
        <row r="4">
          <cell r="D4">
            <v>140</v>
          </cell>
          <cell r="E4">
            <v>0</v>
          </cell>
          <cell r="F4">
            <v>30</v>
          </cell>
        </row>
        <row r="5">
          <cell r="D5">
            <v>23</v>
          </cell>
          <cell r="E5">
            <v>0</v>
          </cell>
          <cell r="F5">
            <v>49.99999999992724</v>
          </cell>
          <cell r="G5">
            <v>31.363636363636363</v>
          </cell>
        </row>
      </sheetData>
      <sheetData sheetId="13">
        <row r="4">
          <cell r="D4">
            <v>136</v>
          </cell>
          <cell r="E4">
            <v>5</v>
          </cell>
          <cell r="F4">
            <v>25.000000000004547</v>
          </cell>
        </row>
        <row r="5">
          <cell r="D5">
            <v>8</v>
          </cell>
          <cell r="E5">
            <v>5</v>
          </cell>
          <cell r="F5">
            <v>14.999999999918145</v>
          </cell>
          <cell r="G5">
            <v>10.909090909090908</v>
          </cell>
        </row>
      </sheetData>
      <sheetData sheetId="14">
        <row r="5">
          <cell r="D5">
            <v>144</v>
          </cell>
          <cell r="E5">
            <v>7</v>
          </cell>
          <cell r="F5">
            <v>14.000000000000909</v>
          </cell>
        </row>
        <row r="6">
          <cell r="D6">
            <v>0</v>
          </cell>
          <cell r="E6">
            <v>6</v>
          </cell>
          <cell r="F6">
            <v>5.9999999999399733</v>
          </cell>
          <cell r="G6">
            <v>0</v>
          </cell>
        </row>
      </sheetData>
      <sheetData sheetId="15">
        <row r="4">
          <cell r="D4">
            <v>139</v>
          </cell>
        </row>
        <row r="5">
          <cell r="D5">
            <v>9</v>
          </cell>
          <cell r="E5">
            <v>6</v>
          </cell>
          <cell r="F5">
            <v>11.999999999907232</v>
          </cell>
          <cell r="G5">
            <v>12.272727272727273</v>
          </cell>
        </row>
      </sheetData>
      <sheetData sheetId="16">
        <row r="5">
          <cell r="D5">
            <v>112</v>
          </cell>
          <cell r="E5">
            <v>3</v>
          </cell>
          <cell r="F5">
            <v>53.999999999998636</v>
          </cell>
        </row>
        <row r="6">
          <cell r="D6">
            <v>19</v>
          </cell>
          <cell r="E6">
            <v>2</v>
          </cell>
          <cell r="F6">
            <v>45.999999999951342</v>
          </cell>
          <cell r="G6">
            <v>25.90909090909091</v>
          </cell>
        </row>
      </sheetData>
      <sheetData sheetId="17">
        <row r="4">
          <cell r="D4">
            <v>140</v>
          </cell>
          <cell r="E4">
            <v>4</v>
          </cell>
          <cell r="F4">
            <v>36.999999999993634</v>
          </cell>
        </row>
        <row r="5">
          <cell r="D5">
            <v>24</v>
          </cell>
          <cell r="E5">
            <v>6</v>
          </cell>
          <cell r="F5">
            <v>2.9999999999427018</v>
          </cell>
          <cell r="G5">
            <v>32.727272727272727</v>
          </cell>
        </row>
      </sheetData>
      <sheetData sheetId="18">
        <row r="4">
          <cell r="D4">
            <v>143</v>
          </cell>
          <cell r="E4">
            <v>6</v>
          </cell>
          <cell r="F4">
            <v>42.000000000002728</v>
          </cell>
        </row>
        <row r="5">
          <cell r="D5">
            <v>7</v>
          </cell>
          <cell r="E5">
            <v>5</v>
          </cell>
          <cell r="F5">
            <v>17.999999999888132</v>
          </cell>
          <cell r="G5">
            <v>9.545454545454545</v>
          </cell>
        </row>
      </sheetData>
      <sheetData sheetId="19">
        <row r="5">
          <cell r="D5">
            <v>166</v>
          </cell>
          <cell r="E5">
            <v>3</v>
          </cell>
          <cell r="F5">
            <v>24.000000000005457</v>
          </cell>
        </row>
        <row r="6">
          <cell r="D6">
            <v>19</v>
          </cell>
          <cell r="E6">
            <v>0</v>
          </cell>
          <cell r="F6">
            <v>35.999999999871761</v>
          </cell>
          <cell r="G6">
            <v>25.90909090909091</v>
          </cell>
        </row>
      </sheetData>
      <sheetData sheetId="20">
        <row r="4">
          <cell r="D4">
            <v>134</v>
          </cell>
          <cell r="E4">
            <v>4</v>
          </cell>
          <cell r="F4">
            <v>28.000000000001819</v>
          </cell>
        </row>
        <row r="5">
          <cell r="D5">
            <v>15</v>
          </cell>
          <cell r="E5">
            <v>7</v>
          </cell>
          <cell r="F5">
            <v>31.999999999916326</v>
          </cell>
          <cell r="G5">
            <v>20.454545454545453</v>
          </cell>
        </row>
      </sheetData>
      <sheetData sheetId="21">
        <row r="5">
          <cell r="D5">
            <v>118</v>
          </cell>
          <cell r="E5">
            <v>1</v>
          </cell>
          <cell r="F5">
            <v>49.000000000003183</v>
          </cell>
        </row>
        <row r="6">
          <cell r="D6">
            <v>25</v>
          </cell>
          <cell r="E6">
            <v>2</v>
          </cell>
          <cell r="F6">
            <v>10.999999999914962</v>
          </cell>
          <cell r="G6">
            <v>34.090909090909093</v>
          </cell>
        </row>
      </sheetData>
      <sheetData sheetId="22">
        <row r="4">
          <cell r="D4">
            <v>136</v>
          </cell>
          <cell r="E4">
            <v>1</v>
          </cell>
          <cell r="F4">
            <v>10.000000000004547</v>
          </cell>
        </row>
        <row r="5">
          <cell r="D5">
            <v>16</v>
          </cell>
          <cell r="E5">
            <v>0</v>
          </cell>
          <cell r="F5">
            <v>9.999999999922693</v>
          </cell>
          <cell r="G5">
            <v>21.818181818181817</v>
          </cell>
        </row>
      </sheetData>
      <sheetData sheetId="23">
        <row r="4">
          <cell r="D4">
            <v>138</v>
          </cell>
          <cell r="E4">
            <v>6</v>
          </cell>
          <cell r="F4">
            <v>42.000000000002728</v>
          </cell>
        </row>
        <row r="5">
          <cell r="D5">
            <v>21</v>
          </cell>
          <cell r="E5">
            <v>3</v>
          </cell>
          <cell r="F5">
            <v>57.999999999933607</v>
          </cell>
          <cell r="G5">
            <v>28.636363636363637</v>
          </cell>
        </row>
      </sheetData>
      <sheetData sheetId="24">
        <row r="4">
          <cell r="D4">
            <v>142</v>
          </cell>
          <cell r="E4">
            <v>6</v>
          </cell>
          <cell r="F4">
            <v>30.999999999999091</v>
          </cell>
        </row>
        <row r="5">
          <cell r="D5">
            <v>18</v>
          </cell>
          <cell r="E5">
            <v>4</v>
          </cell>
          <cell r="F5">
            <v>8.9999999999372449</v>
          </cell>
          <cell r="G5">
            <v>24.545454545454547</v>
          </cell>
        </row>
      </sheetData>
      <sheetData sheetId="25">
        <row r="4">
          <cell r="D4">
            <v>101</v>
          </cell>
          <cell r="E4">
            <v>6</v>
          </cell>
          <cell r="F4">
            <v>25.999999999996817</v>
          </cell>
        </row>
        <row r="5">
          <cell r="D5">
            <v>44</v>
          </cell>
          <cell r="E5">
            <v>4</v>
          </cell>
          <cell r="F5">
            <v>13.999999999912234</v>
          </cell>
          <cell r="G5">
            <v>60</v>
          </cell>
        </row>
      </sheetData>
      <sheetData sheetId="26">
        <row r="4">
          <cell r="D4">
            <v>144</v>
          </cell>
          <cell r="E4">
            <v>2</v>
          </cell>
          <cell r="F4">
            <v>16.999999999998181</v>
          </cell>
        </row>
        <row r="5">
          <cell r="D5">
            <v>14</v>
          </cell>
          <cell r="E5">
            <v>0</v>
          </cell>
          <cell r="F5">
            <v>22.99999999991087</v>
          </cell>
          <cell r="G5">
            <v>19.09090909090909</v>
          </cell>
        </row>
      </sheetData>
      <sheetData sheetId="27">
        <row r="4">
          <cell r="D4">
            <v>130</v>
          </cell>
          <cell r="E4">
            <v>5</v>
          </cell>
          <cell r="F4">
            <v>29.000000000000909</v>
          </cell>
        </row>
        <row r="5">
          <cell r="D5">
            <v>9</v>
          </cell>
          <cell r="E5">
            <v>3</v>
          </cell>
          <cell r="F5">
            <v>50.999999999912689</v>
          </cell>
          <cell r="G5">
            <v>12.272727272727273</v>
          </cell>
        </row>
      </sheetData>
      <sheetData sheetId="28">
        <row r="4">
          <cell r="D4">
            <v>108</v>
          </cell>
          <cell r="E4">
            <v>0</v>
          </cell>
          <cell r="F4">
            <v>32.999999999997272</v>
          </cell>
        </row>
        <row r="5">
          <cell r="D5">
            <v>44</v>
          </cell>
          <cell r="E5">
            <v>4</v>
          </cell>
          <cell r="F5">
            <v>46.999999999929969</v>
          </cell>
          <cell r="G5">
            <v>60</v>
          </cell>
        </row>
      </sheetData>
      <sheetData sheetId="29">
        <row r="4">
          <cell r="D4">
            <v>110</v>
          </cell>
          <cell r="E4">
            <v>5</v>
          </cell>
          <cell r="F4">
            <v>45</v>
          </cell>
        </row>
        <row r="5">
          <cell r="D5">
            <v>39</v>
          </cell>
          <cell r="E5">
            <v>3</v>
          </cell>
          <cell r="F5">
            <v>34.99999999992724</v>
          </cell>
          <cell r="G5">
            <v>53.18181818181818</v>
          </cell>
        </row>
      </sheetData>
      <sheetData sheetId="30">
        <row r="4">
          <cell r="D4">
            <v>139</v>
          </cell>
          <cell r="E4">
            <v>3</v>
          </cell>
          <cell r="F4">
            <v>19.999999999995453</v>
          </cell>
        </row>
        <row r="5">
          <cell r="D5">
            <v>18</v>
          </cell>
          <cell r="E5">
            <v>3</v>
          </cell>
          <cell r="F5">
            <v>19.99999999992724</v>
          </cell>
          <cell r="G5">
            <v>24.545454545454547</v>
          </cell>
        </row>
      </sheetData>
      <sheetData sheetId="31">
        <row r="4">
          <cell r="D4">
            <v>138</v>
          </cell>
          <cell r="E4">
            <v>2</v>
          </cell>
          <cell r="F4">
            <v>30</v>
          </cell>
        </row>
        <row r="5">
          <cell r="D5">
            <v>28</v>
          </cell>
          <cell r="E5">
            <v>1</v>
          </cell>
          <cell r="F5">
            <v>29.999999999918145</v>
          </cell>
          <cell r="G5">
            <v>38.18181818181818</v>
          </cell>
        </row>
      </sheetData>
      <sheetData sheetId="32">
        <row r="4">
          <cell r="D4">
            <v>131</v>
          </cell>
          <cell r="E4">
            <v>5</v>
          </cell>
          <cell r="F4">
            <v>50.999999999994543</v>
          </cell>
        </row>
        <row r="5">
          <cell r="D5">
            <v>11</v>
          </cell>
          <cell r="E5">
            <v>4</v>
          </cell>
          <cell r="F5">
            <v>48.99999999992815</v>
          </cell>
          <cell r="G5">
            <v>15</v>
          </cell>
        </row>
      </sheetData>
      <sheetData sheetId="33">
        <row r="5">
          <cell r="D5">
            <v>140</v>
          </cell>
          <cell r="E5">
            <v>0</v>
          </cell>
          <cell r="F5">
            <v>14.000000000000909</v>
          </cell>
        </row>
        <row r="6">
          <cell r="D6">
            <v>34</v>
          </cell>
          <cell r="E6">
            <v>6</v>
          </cell>
          <cell r="F6">
            <v>25.999999999921783</v>
          </cell>
          <cell r="G6">
            <v>46.363636363636367</v>
          </cell>
        </row>
      </sheetData>
      <sheetData sheetId="34">
        <row r="5">
          <cell r="D5">
            <v>150</v>
          </cell>
          <cell r="E5">
            <v>7</v>
          </cell>
          <cell r="F5">
            <v>11.000000000003638</v>
          </cell>
        </row>
        <row r="6">
          <cell r="D6">
            <v>13</v>
          </cell>
          <cell r="E6">
            <v>6</v>
          </cell>
          <cell r="F6">
            <v>8.99999999990996</v>
          </cell>
          <cell r="G6">
            <v>17.727272727272727</v>
          </cell>
        </row>
      </sheetData>
      <sheetData sheetId="35">
        <row r="5">
          <cell r="D5">
            <v>96</v>
          </cell>
          <cell r="E5">
            <v>3</v>
          </cell>
          <cell r="F5">
            <v>51.000000000001364</v>
          </cell>
        </row>
        <row r="6">
          <cell r="D6">
            <v>33</v>
          </cell>
          <cell r="E6">
            <v>2</v>
          </cell>
          <cell r="F6">
            <v>48.999999999934971</v>
          </cell>
          <cell r="G6">
            <v>45</v>
          </cell>
        </row>
      </sheetData>
      <sheetData sheetId="36">
        <row r="4">
          <cell r="D4">
            <v>132</v>
          </cell>
          <cell r="E4">
            <v>5</v>
          </cell>
          <cell r="F4">
            <v>15.166666666664241</v>
          </cell>
        </row>
        <row r="5">
          <cell r="D5">
            <v>7</v>
          </cell>
          <cell r="E5">
            <v>5</v>
          </cell>
          <cell r="F5">
            <v>24.833333333258452</v>
          </cell>
          <cell r="G5">
            <v>9.545454545454545</v>
          </cell>
        </row>
      </sheetData>
      <sheetData sheetId="37">
        <row r="5">
          <cell r="D5">
            <v>121</v>
          </cell>
          <cell r="E5">
            <v>6</v>
          </cell>
          <cell r="F5">
            <v>43.000000000001819</v>
          </cell>
        </row>
        <row r="6">
          <cell r="D6">
            <v>26</v>
          </cell>
          <cell r="E6">
            <v>7</v>
          </cell>
          <cell r="F6">
            <v>56.999999999920874</v>
          </cell>
          <cell r="G6">
            <v>35.454545454545453</v>
          </cell>
        </row>
      </sheetData>
      <sheetData sheetId="38">
        <row r="4">
          <cell r="D4">
            <v>147</v>
          </cell>
          <cell r="E4">
            <v>6</v>
          </cell>
          <cell r="F4">
            <v>50.093750000000909</v>
          </cell>
        </row>
        <row r="5">
          <cell r="D5">
            <v>7</v>
          </cell>
          <cell r="E5">
            <v>3</v>
          </cell>
          <cell r="F5">
            <v>49.906249999935426</v>
          </cell>
          <cell r="G5">
            <v>9.545454545454545</v>
          </cell>
        </row>
      </sheetData>
      <sheetData sheetId="39">
        <row r="4">
          <cell r="D4">
            <v>98</v>
          </cell>
          <cell r="E4">
            <v>0</v>
          </cell>
          <cell r="F4">
            <v>23.999999999998636</v>
          </cell>
        </row>
        <row r="5">
          <cell r="D5">
            <v>26</v>
          </cell>
          <cell r="E5">
            <v>3</v>
          </cell>
          <cell r="F5">
            <v>33.695999977599058</v>
          </cell>
          <cell r="G5">
            <v>35.454545454545453</v>
          </cell>
        </row>
      </sheetData>
      <sheetData sheetId="40">
        <row r="4">
          <cell r="D4">
            <v>97</v>
          </cell>
          <cell r="E4">
            <v>4</v>
          </cell>
          <cell r="F4">
            <v>0</v>
          </cell>
        </row>
        <row r="5">
          <cell r="D5">
            <v>28</v>
          </cell>
          <cell r="E5">
            <v>7</v>
          </cell>
          <cell r="F5">
            <v>57.695999977597694</v>
          </cell>
          <cell r="G5">
            <v>38.18181818181818</v>
          </cell>
        </row>
      </sheetData>
      <sheetData sheetId="41">
        <row r="5">
          <cell r="D5">
            <v>141</v>
          </cell>
          <cell r="E5">
            <v>3</v>
          </cell>
          <cell r="F5">
            <v>53.000000000006366</v>
          </cell>
        </row>
        <row r="6">
          <cell r="D6">
            <v>25</v>
          </cell>
          <cell r="E6">
            <v>4</v>
          </cell>
          <cell r="F6">
            <v>6.9999999998981366</v>
          </cell>
          <cell r="G6">
            <v>34.090909090909093</v>
          </cell>
        </row>
      </sheetData>
      <sheetData sheetId="42">
        <row r="4">
          <cell r="D4">
            <v>110</v>
          </cell>
          <cell r="E4">
            <v>3</v>
          </cell>
          <cell r="F4">
            <v>30</v>
          </cell>
        </row>
        <row r="5">
          <cell r="D5">
            <v>8</v>
          </cell>
          <cell r="E5">
            <v>0</v>
          </cell>
          <cell r="F5">
            <v>27.695999977604515</v>
          </cell>
          <cell r="G5">
            <v>10.909090909090908</v>
          </cell>
        </row>
      </sheetData>
      <sheetData sheetId="43">
        <row r="4">
          <cell r="D4">
            <v>82</v>
          </cell>
          <cell r="E4">
            <v>4</v>
          </cell>
          <cell r="F4">
            <v>0</v>
          </cell>
        </row>
        <row r="5">
          <cell r="D5">
            <v>38</v>
          </cell>
          <cell r="E5">
            <v>3</v>
          </cell>
          <cell r="F5">
            <v>54.239999985920804</v>
          </cell>
          <cell r="G5">
            <v>51.81818181818182</v>
          </cell>
        </row>
      </sheetData>
      <sheetData sheetId="44">
        <row r="4">
          <cell r="D4">
            <v>116</v>
          </cell>
          <cell r="E4">
            <v>0</v>
          </cell>
          <cell r="F4">
            <v>15</v>
          </cell>
        </row>
        <row r="5">
          <cell r="D5">
            <v>8</v>
          </cell>
          <cell r="E5">
            <v>3</v>
          </cell>
          <cell r="F5">
            <v>42.695999977597694</v>
          </cell>
          <cell r="G5">
            <v>10.909090909090908</v>
          </cell>
        </row>
      </sheetData>
      <sheetData sheetId="45">
        <row r="4">
          <cell r="E4">
            <v>4</v>
          </cell>
          <cell r="F4">
            <v>59.000000000000909</v>
          </cell>
        </row>
        <row r="5">
          <cell r="D5">
            <v>6</v>
          </cell>
          <cell r="E5">
            <v>1</v>
          </cell>
          <cell r="F5">
            <v>40.99999998784142</v>
          </cell>
          <cell r="G5">
            <v>8.1818181818181817</v>
          </cell>
        </row>
      </sheetData>
      <sheetData sheetId="46">
        <row r="4">
          <cell r="D4">
            <v>101</v>
          </cell>
          <cell r="E4">
            <v>7</v>
          </cell>
          <cell r="F4">
            <v>0.99999999999909051</v>
          </cell>
        </row>
        <row r="5">
          <cell r="D5">
            <v>23</v>
          </cell>
          <cell r="E5">
            <v>4</v>
          </cell>
          <cell r="F5">
            <v>58.999999999925876</v>
          </cell>
          <cell r="G5">
            <v>31.363636363636363</v>
          </cell>
        </row>
      </sheetData>
      <sheetData sheetId="47">
        <row r="4">
          <cell r="D4">
            <v>43</v>
          </cell>
          <cell r="E4">
            <v>0</v>
          </cell>
          <cell r="F4">
            <v>11.999999999999318</v>
          </cell>
        </row>
        <row r="5">
          <cell r="D5">
            <v>37</v>
          </cell>
          <cell r="E5">
            <v>3</v>
          </cell>
          <cell r="F5">
            <v>47.999999999946112</v>
          </cell>
          <cell r="G5">
            <v>50.454545454545453</v>
          </cell>
        </row>
      </sheetData>
      <sheetData sheetId="48">
        <row r="4">
          <cell r="D4">
            <v>58</v>
          </cell>
          <cell r="E4">
            <v>0</v>
          </cell>
          <cell r="F4">
            <v>52.000000000000455</v>
          </cell>
        </row>
        <row r="5">
          <cell r="D5">
            <v>25</v>
          </cell>
          <cell r="E5">
            <v>3</v>
          </cell>
          <cell r="F5">
            <v>7.9999999999245119</v>
          </cell>
          <cell r="G5">
            <v>34.090909090909093</v>
          </cell>
        </row>
      </sheetData>
      <sheetData sheetId="49"/>
      <sheetData sheetId="50">
        <row r="4">
          <cell r="E4">
            <v>3</v>
          </cell>
          <cell r="F4">
            <v>30.999999999999091</v>
          </cell>
        </row>
        <row r="5">
          <cell r="D5">
            <v>12</v>
          </cell>
          <cell r="E5">
            <v>0</v>
          </cell>
          <cell r="F5">
            <v>28.99999999994634</v>
          </cell>
          <cell r="G5">
            <v>16.363636363636363</v>
          </cell>
        </row>
      </sheetData>
      <sheetData sheetId="51">
        <row r="4">
          <cell r="E4">
            <v>4</v>
          </cell>
          <cell r="F4">
            <v>54.999999999999432</v>
          </cell>
        </row>
        <row r="5">
          <cell r="D5">
            <v>31</v>
          </cell>
          <cell r="E5">
            <v>1</v>
          </cell>
          <cell r="F5">
            <v>44.999999999947136</v>
          </cell>
          <cell r="G5">
            <v>42.272727272727273</v>
          </cell>
        </row>
      </sheetData>
      <sheetData sheetId="52">
        <row r="4">
          <cell r="E4">
            <v>4</v>
          </cell>
          <cell r="F4">
            <v>11.999999999999318</v>
          </cell>
        </row>
        <row r="5">
          <cell r="D5">
            <v>26</v>
          </cell>
          <cell r="E5">
            <v>3</v>
          </cell>
          <cell r="F5">
            <v>47.999999999949523</v>
          </cell>
          <cell r="G5">
            <v>35.454545454545453</v>
          </cell>
        </row>
      </sheetData>
      <sheetData sheetId="53">
        <row r="5">
          <cell r="E5">
            <v>7</v>
          </cell>
          <cell r="F5">
            <v>40.250000000000909</v>
          </cell>
        </row>
        <row r="6">
          <cell r="D6">
            <v>17</v>
          </cell>
          <cell r="E6">
            <v>6</v>
          </cell>
          <cell r="F6">
            <v>59.749999999908141</v>
          </cell>
          <cell r="G6">
            <v>23.181818181818183</v>
          </cell>
        </row>
      </sheetData>
      <sheetData sheetId="54"/>
      <sheetData sheetId="55">
        <row r="4">
          <cell r="E4">
            <v>4</v>
          </cell>
          <cell r="F4">
            <v>49.999999999998863</v>
          </cell>
        </row>
        <row r="5">
          <cell r="D5">
            <v>18</v>
          </cell>
          <cell r="E5">
            <v>5</v>
          </cell>
          <cell r="F5">
            <v>49.999999999954525</v>
          </cell>
          <cell r="G5">
            <v>24.545454545454547</v>
          </cell>
        </row>
      </sheetData>
      <sheetData sheetId="56">
        <row r="4">
          <cell r="E4">
            <v>6</v>
          </cell>
          <cell r="F4">
            <v>37.999999999999545</v>
          </cell>
        </row>
        <row r="5">
          <cell r="D5">
            <v>28</v>
          </cell>
          <cell r="E5">
            <v>0</v>
          </cell>
          <cell r="F5">
            <v>1.9999999999572537</v>
          </cell>
          <cell r="G5">
            <v>38.18181818181818</v>
          </cell>
        </row>
      </sheetData>
      <sheetData sheetId="57"/>
      <sheetData sheetId="58">
        <row r="4">
          <cell r="E4">
            <v>2</v>
          </cell>
          <cell r="F4">
            <v>3.9999999999997726</v>
          </cell>
        </row>
        <row r="5">
          <cell r="D5">
            <v>22</v>
          </cell>
          <cell r="E5">
            <v>1</v>
          </cell>
          <cell r="F5">
            <v>55.999999999966121</v>
          </cell>
          <cell r="G5">
            <v>30</v>
          </cell>
        </row>
      </sheetData>
      <sheetData sheetId="59">
        <row r="4">
          <cell r="E4">
            <v>7</v>
          </cell>
          <cell r="F4">
            <v>0</v>
          </cell>
        </row>
        <row r="5">
          <cell r="D5">
            <v>12</v>
          </cell>
          <cell r="E5">
            <v>4</v>
          </cell>
          <cell r="F5">
            <v>59.999999999965894</v>
          </cell>
          <cell r="G5">
            <v>16.363636363636363</v>
          </cell>
        </row>
      </sheetData>
      <sheetData sheetId="60">
        <row r="4">
          <cell r="E4">
            <v>2</v>
          </cell>
          <cell r="F4">
            <v>56.000000000000227</v>
          </cell>
        </row>
        <row r="5">
          <cell r="D5">
            <v>28</v>
          </cell>
          <cell r="E5">
            <v>1</v>
          </cell>
          <cell r="F5">
            <v>3.9999999999656666</v>
          </cell>
          <cell r="G5">
            <v>38.18181818181818</v>
          </cell>
        </row>
      </sheetData>
      <sheetData sheetId="61">
        <row r="4">
          <cell r="E4">
            <v>3</v>
          </cell>
          <cell r="F4">
            <v>41.000000000000227</v>
          </cell>
        </row>
        <row r="5">
          <cell r="D5">
            <v>13</v>
          </cell>
          <cell r="E5">
            <v>0</v>
          </cell>
          <cell r="F5">
            <v>18.999999999974193</v>
          </cell>
          <cell r="G5">
            <v>17.727272727272727</v>
          </cell>
        </row>
      </sheetData>
      <sheetData sheetId="62">
        <row r="4">
          <cell r="E4">
            <v>4</v>
          </cell>
          <cell r="F4">
            <v>32.999999999999829</v>
          </cell>
        </row>
        <row r="5">
          <cell r="D5">
            <v>13</v>
          </cell>
          <cell r="E5">
            <v>7</v>
          </cell>
          <cell r="F5">
            <v>26.999999999974591</v>
          </cell>
          <cell r="G5">
            <v>17.727272727272727</v>
          </cell>
        </row>
      </sheetData>
      <sheetData sheetId="63"/>
      <sheetData sheetId="64">
        <row r="4">
          <cell r="E4">
            <v>1</v>
          </cell>
          <cell r="F4">
            <v>9.9999999999998579</v>
          </cell>
        </row>
        <row r="5">
          <cell r="D5">
            <v>18</v>
          </cell>
          <cell r="E5">
            <v>5</v>
          </cell>
          <cell r="F5">
            <v>29.999999999977831</v>
          </cell>
          <cell r="G5">
            <v>24.545454545454547</v>
          </cell>
        </row>
      </sheetData>
      <sheetData sheetId="65">
        <row r="4">
          <cell r="E4">
            <v>6</v>
          </cell>
          <cell r="F4">
            <v>44.000000000000057</v>
          </cell>
        </row>
        <row r="5">
          <cell r="D5">
            <v>10</v>
          </cell>
          <cell r="E5">
            <v>2</v>
          </cell>
          <cell r="F5">
            <v>35.999999999981753</v>
          </cell>
          <cell r="G5">
            <v>13.636363636363637</v>
          </cell>
        </row>
      </sheetData>
      <sheetData sheetId="66">
        <row r="4">
          <cell r="E4">
            <v>2</v>
          </cell>
          <cell r="F4">
            <v>0</v>
          </cell>
        </row>
        <row r="5">
          <cell r="D5">
            <v>4</v>
          </cell>
          <cell r="E5">
            <v>0</v>
          </cell>
          <cell r="F5">
            <v>39.999999999984084</v>
          </cell>
          <cell r="G5">
            <v>5.4545454545454541</v>
          </cell>
        </row>
      </sheetData>
      <sheetData sheetId="67">
        <row r="4">
          <cell r="E4">
            <v>0</v>
          </cell>
          <cell r="F4">
            <v>1.9999999999998863</v>
          </cell>
        </row>
        <row r="5">
          <cell r="D5">
            <v>5</v>
          </cell>
          <cell r="E5">
            <v>3</v>
          </cell>
          <cell r="F5">
            <v>57.999999999984766</v>
          </cell>
          <cell r="G5">
            <v>6.8181818181818183</v>
          </cell>
        </row>
      </sheetData>
      <sheetData sheetId="68"/>
      <sheetData sheetId="69">
        <row r="4">
          <cell r="E4">
            <v>0</v>
          </cell>
          <cell r="F4">
            <v>0</v>
          </cell>
        </row>
        <row r="5">
          <cell r="D5">
            <v>7</v>
          </cell>
          <cell r="E5">
            <v>2</v>
          </cell>
          <cell r="F5">
            <v>39.999999999993463</v>
          </cell>
          <cell r="G5">
            <v>9.545454545454545</v>
          </cell>
        </row>
      </sheetData>
      <sheetData sheetId="70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2</v>
          </cell>
          <cell r="F5">
            <v>39.999999999993463</v>
          </cell>
          <cell r="G5">
            <v>4.0909090909090908</v>
          </cell>
        </row>
      </sheetData>
      <sheetData sheetId="71">
        <row r="4">
          <cell r="E4">
            <v>0</v>
          </cell>
          <cell r="F4">
            <v>0</v>
          </cell>
        </row>
        <row r="5">
          <cell r="D5">
            <v>1</v>
          </cell>
          <cell r="E5">
            <v>3</v>
          </cell>
          <cell r="F5">
            <v>59.999999999994884</v>
          </cell>
          <cell r="G5">
            <v>1.3636363636363635</v>
          </cell>
        </row>
      </sheetData>
      <sheetData sheetId="72">
        <row r="4">
          <cell r="E4">
            <v>0</v>
          </cell>
          <cell r="F4">
            <v>0</v>
          </cell>
        </row>
        <row r="5">
          <cell r="D5">
            <v>4</v>
          </cell>
          <cell r="E5">
            <v>3</v>
          </cell>
          <cell r="F5">
            <v>59.999999999994884</v>
          </cell>
          <cell r="G5">
            <v>5.4545454545454541</v>
          </cell>
        </row>
      </sheetData>
      <sheetData sheetId="73">
        <row r="4">
          <cell r="E4">
            <v>4</v>
          </cell>
          <cell r="F4">
            <v>0</v>
          </cell>
        </row>
        <row r="5">
          <cell r="D5">
            <v>2</v>
          </cell>
          <cell r="E5">
            <v>7</v>
          </cell>
          <cell r="F5">
            <v>59.999999999994884</v>
          </cell>
          <cell r="G5">
            <v>2.7272727272727271</v>
          </cell>
        </row>
      </sheetData>
      <sheetData sheetId="74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75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76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77">
        <row r="4">
          <cell r="E4">
            <v>0</v>
          </cell>
          <cell r="F4">
            <v>0</v>
          </cell>
        </row>
        <row r="5">
          <cell r="D5">
            <v>2</v>
          </cell>
          <cell r="E5">
            <v>5</v>
          </cell>
          <cell r="F5">
            <v>19.999999999996732</v>
          </cell>
          <cell r="G5">
            <v>2.7272727272727271</v>
          </cell>
        </row>
      </sheetData>
      <sheetData sheetId="78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79">
        <row r="4">
          <cell r="E4">
            <v>3</v>
          </cell>
          <cell r="F4">
            <v>39.000000000000021</v>
          </cell>
        </row>
        <row r="5">
          <cell r="D5">
            <v>1</v>
          </cell>
          <cell r="E5">
            <v>1</v>
          </cell>
          <cell r="F5">
            <v>40.99999999999671</v>
          </cell>
          <cell r="G5">
            <v>1.3636363636363635</v>
          </cell>
        </row>
      </sheetData>
      <sheetData sheetId="80">
        <row r="4">
          <cell r="E4">
            <v>0</v>
          </cell>
          <cell r="F4">
            <v>0</v>
          </cell>
        </row>
        <row r="5">
          <cell r="D5">
            <v>2</v>
          </cell>
          <cell r="E5">
            <v>5</v>
          </cell>
          <cell r="F5">
            <v>19.999999999996732</v>
          </cell>
          <cell r="G5">
            <v>2.7272727272727271</v>
          </cell>
        </row>
      </sheetData>
      <sheetData sheetId="81"/>
      <sheetData sheetId="82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83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84">
        <row r="4">
          <cell r="E4">
            <v>0</v>
          </cell>
          <cell r="F4">
            <v>0</v>
          </cell>
        </row>
        <row r="5">
          <cell r="D5">
            <v>3</v>
          </cell>
          <cell r="E5">
            <v>5</v>
          </cell>
          <cell r="F5">
            <v>19.999999999996732</v>
          </cell>
          <cell r="G5">
            <v>4.0909090909090908</v>
          </cell>
        </row>
      </sheetData>
      <sheetData sheetId="85">
        <row r="4">
          <cell r="E4">
            <v>0</v>
          </cell>
          <cell r="F4">
            <v>0</v>
          </cell>
        </row>
        <row r="5">
          <cell r="D5">
            <v>2</v>
          </cell>
          <cell r="E5">
            <v>5</v>
          </cell>
          <cell r="F5">
            <v>19.999999999996732</v>
          </cell>
          <cell r="G5">
            <v>2.7272727272727271</v>
          </cell>
        </row>
      </sheetData>
      <sheetData sheetId="86">
        <row r="4">
          <cell r="E4">
            <v>0</v>
          </cell>
          <cell r="F4">
            <v>24</v>
          </cell>
        </row>
        <row r="5">
          <cell r="D5">
            <v>2</v>
          </cell>
          <cell r="E5">
            <v>4</v>
          </cell>
          <cell r="F5">
            <v>55.999999999996817</v>
          </cell>
          <cell r="G5">
            <v>2.7272727272727271</v>
          </cell>
        </row>
      </sheetData>
      <sheetData sheetId="87">
        <row r="4">
          <cell r="E4">
            <v>0</v>
          </cell>
          <cell r="F4">
            <v>26.000000000000014</v>
          </cell>
        </row>
        <row r="5">
          <cell r="D5">
            <v>0</v>
          </cell>
          <cell r="E5">
            <v>4</v>
          </cell>
          <cell r="F5">
            <v>53.999999999996717</v>
          </cell>
          <cell r="G5">
            <v>0</v>
          </cell>
        </row>
      </sheetData>
      <sheetData sheetId="88">
        <row r="4">
          <cell r="E4">
            <v>0</v>
          </cell>
          <cell r="F4">
            <v>30</v>
          </cell>
        </row>
        <row r="5">
          <cell r="D5">
            <v>2</v>
          </cell>
          <cell r="E5">
            <v>4</v>
          </cell>
          <cell r="F5">
            <v>49.999999999996732</v>
          </cell>
          <cell r="G5">
            <v>2.7272727272727271</v>
          </cell>
        </row>
      </sheetData>
      <sheetData sheetId="89">
        <row r="4">
          <cell r="E4">
            <v>1</v>
          </cell>
          <cell r="F4">
            <v>23</v>
          </cell>
        </row>
        <row r="5">
          <cell r="D5">
            <v>2</v>
          </cell>
          <cell r="E5">
            <v>3</v>
          </cell>
          <cell r="F5">
            <v>56.99999999999676</v>
          </cell>
          <cell r="G5">
            <v>2.7272727272727271</v>
          </cell>
        </row>
      </sheetData>
      <sheetData sheetId="90">
        <row r="4">
          <cell r="E4">
            <v>0</v>
          </cell>
          <cell r="F4">
            <v>0</v>
          </cell>
        </row>
        <row r="5">
          <cell r="D5">
            <v>2</v>
          </cell>
          <cell r="E5">
            <v>5</v>
          </cell>
          <cell r="F5">
            <v>19.999999999996732</v>
          </cell>
          <cell r="G5">
            <v>2.7272727272727271</v>
          </cell>
        </row>
      </sheetData>
      <sheetData sheetId="91">
        <row r="4">
          <cell r="E4">
            <v>0</v>
          </cell>
          <cell r="F4">
            <v>0</v>
          </cell>
        </row>
        <row r="5">
          <cell r="D5">
            <v>1</v>
          </cell>
          <cell r="E5">
            <v>6</v>
          </cell>
          <cell r="F5">
            <v>39.999999999998366</v>
          </cell>
          <cell r="G5">
            <v>1.3636363636363635</v>
          </cell>
        </row>
      </sheetData>
      <sheetData sheetId="92">
        <row r="4">
          <cell r="E4">
            <v>0</v>
          </cell>
          <cell r="F4">
            <v>0</v>
          </cell>
        </row>
        <row r="5">
          <cell r="D5">
            <v>1</v>
          </cell>
          <cell r="E5">
            <v>6</v>
          </cell>
          <cell r="F5">
            <v>39.999999999998366</v>
          </cell>
          <cell r="G5">
            <v>1.3636363636363635</v>
          </cell>
        </row>
      </sheetData>
      <sheetData sheetId="93">
        <row r="4">
          <cell r="F4">
            <v>2</v>
          </cell>
        </row>
        <row r="5">
          <cell r="D5">
            <v>1</v>
          </cell>
          <cell r="E5">
            <v>6</v>
          </cell>
          <cell r="F5">
            <v>37.999999999998373</v>
          </cell>
          <cell r="G5">
            <v>1.3636363636363635</v>
          </cell>
        </row>
      </sheetData>
      <sheetData sheetId="94">
        <row r="4">
          <cell r="E4">
            <v>0</v>
          </cell>
          <cell r="F4">
            <v>11</v>
          </cell>
        </row>
        <row r="5">
          <cell r="D5">
            <v>0</v>
          </cell>
          <cell r="E5">
            <v>6</v>
          </cell>
          <cell r="F5">
            <v>28.999999999998352</v>
          </cell>
          <cell r="G5">
            <v>0</v>
          </cell>
        </row>
      </sheetData>
      <sheetData sheetId="95">
        <row r="4">
          <cell r="E4">
            <v>0</v>
          </cell>
          <cell r="F4">
            <v>0</v>
          </cell>
        </row>
        <row r="5">
          <cell r="D5">
            <v>0</v>
          </cell>
          <cell r="E5">
            <v>6</v>
          </cell>
          <cell r="F5">
            <v>39.999999999998366</v>
          </cell>
          <cell r="G5">
            <v>0</v>
          </cell>
        </row>
      </sheetData>
      <sheetData sheetId="96">
        <row r="4">
          <cell r="E4">
            <v>0</v>
          </cell>
          <cell r="F4">
            <v>54</v>
          </cell>
        </row>
        <row r="5">
          <cell r="D5">
            <v>0</v>
          </cell>
          <cell r="E5">
            <v>5</v>
          </cell>
          <cell r="F5">
            <v>45.999999999998344</v>
          </cell>
          <cell r="G5">
            <v>0</v>
          </cell>
        </row>
      </sheetData>
      <sheetData sheetId="97"/>
      <sheetData sheetId="98">
        <row r="4">
          <cell r="E4">
            <v>0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</row>
      </sheetData>
      <sheetData sheetId="99">
        <row r="4">
          <cell r="E4">
            <v>0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</row>
      </sheetData>
      <sheetData sheetId="100">
        <row r="4">
          <cell r="E4">
            <v>0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</row>
      </sheetData>
      <sheetData sheetId="101">
        <row r="4">
          <cell r="E4">
            <v>0</v>
          </cell>
          <cell r="F4">
            <v>0</v>
          </cell>
        </row>
        <row r="5">
          <cell r="D5">
            <v>0</v>
          </cell>
          <cell r="E5">
            <v>0</v>
          </cell>
          <cell r="F5">
            <v>0</v>
          </cell>
          <cell r="G5">
            <v>0</v>
          </cell>
        </row>
      </sheetData>
      <sheetData sheetId="102">
        <row r="4">
          <cell r="E4">
            <v>0</v>
          </cell>
          <cell r="F4">
            <v>0</v>
          </cell>
        </row>
        <row r="5">
          <cell r="D5">
            <v>-1</v>
          </cell>
          <cell r="E5">
            <v>0</v>
          </cell>
          <cell r="F5">
            <v>0</v>
          </cell>
          <cell r="G5">
            <v>-1.3636363636363635</v>
          </cell>
        </row>
      </sheetData>
      <sheetData sheetId="103">
        <row r="4">
          <cell r="E4">
            <v>0</v>
          </cell>
          <cell r="F4">
            <v>0</v>
          </cell>
        </row>
        <row r="5">
          <cell r="D5">
            <v>-1</v>
          </cell>
          <cell r="E5">
            <v>0</v>
          </cell>
          <cell r="F5">
            <v>0</v>
          </cell>
          <cell r="G5">
            <v>-1.3636363636363635</v>
          </cell>
        </row>
      </sheetData>
      <sheetData sheetId="104">
        <row r="4">
          <cell r="E4">
            <v>0</v>
          </cell>
          <cell r="F4">
            <v>0</v>
          </cell>
        </row>
        <row r="5">
          <cell r="D5">
            <v>-1</v>
          </cell>
          <cell r="E5">
            <v>0</v>
          </cell>
          <cell r="F5">
            <v>0</v>
          </cell>
          <cell r="G5">
            <v>-1.3636363636363635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4">
          <cell r="E4">
            <v>0</v>
          </cell>
          <cell r="F4">
            <v>30</v>
          </cell>
        </row>
        <row r="5">
          <cell r="D5">
            <v>0</v>
          </cell>
          <cell r="E5">
            <v>2</v>
          </cell>
          <cell r="F5">
            <v>9.9999999999840838</v>
          </cell>
          <cell r="G5">
            <v>0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874-04FD-4B14-A902-46492AE6DED8}">
  <sheetPr>
    <pageSetUpPr fitToPage="1"/>
  </sheetPr>
  <dimension ref="A1:N39"/>
  <sheetViews>
    <sheetView tabSelected="1" zoomScale="85" zoomScaleNormal="85" workbookViewId="0">
      <selection activeCell="A11" sqref="A11:B11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75"/>
      <c r="C1" s="75"/>
      <c r="D1" s="75"/>
      <c r="E1" s="75"/>
      <c r="F1" s="75"/>
      <c r="G1" s="75"/>
      <c r="H1" s="75"/>
    </row>
    <row r="2" spans="1:14" ht="18" customHeight="1" thickBot="1" x14ac:dyDescent="0.3">
      <c r="A2" s="84" t="s">
        <v>0</v>
      </c>
      <c r="B2" s="84"/>
      <c r="C2" s="84"/>
      <c r="D2" s="84"/>
      <c r="E2" s="84"/>
      <c r="F2" s="84"/>
      <c r="G2" s="84"/>
      <c r="H2" s="84"/>
      <c r="J2" s="98" t="s">
        <v>1</v>
      </c>
      <c r="K2" s="98"/>
    </row>
    <row r="3" spans="1:14" ht="25.5" customHeight="1" thickBot="1" x14ac:dyDescent="0.3">
      <c r="A3" s="62" t="s">
        <v>2</v>
      </c>
      <c r="B3" s="89"/>
      <c r="C3" s="62" t="str">
        <f>VLOOKUP($J$3,Hoja2!$A$3:$L$120,2,0)</f>
        <v>Norma Arcos</v>
      </c>
      <c r="D3" s="63"/>
      <c r="E3" s="101" t="s">
        <v>3</v>
      </c>
      <c r="F3" s="101"/>
      <c r="G3" s="62" t="str">
        <f>VLOOKUP($J$3,Hoja2!$A$3:$L$120,3,0)</f>
        <v>Dirección de Tecnologías de la Información</v>
      </c>
      <c r="H3" s="63"/>
      <c r="J3" s="99">
        <v>1719235432</v>
      </c>
      <c r="K3" s="100"/>
    </row>
    <row r="4" spans="1:14" ht="25.5" customHeight="1" thickTop="1" thickBot="1" x14ac:dyDescent="0.3">
      <c r="A4" s="62" t="s">
        <v>4</v>
      </c>
      <c r="B4" s="89"/>
      <c r="C4" s="64">
        <f>J3</f>
        <v>1719235432</v>
      </c>
      <c r="D4" s="65"/>
      <c r="E4" s="83" t="s">
        <v>5</v>
      </c>
      <c r="F4" s="83"/>
      <c r="G4" s="68">
        <f ca="1">NOW()</f>
        <v>45978.638298611113</v>
      </c>
      <c r="H4" s="69"/>
      <c r="J4" s="85" t="s">
        <v>6</v>
      </c>
      <c r="K4" s="86"/>
    </row>
    <row r="5" spans="1:14" ht="24.75" customHeight="1" thickBot="1" x14ac:dyDescent="0.3">
      <c r="A5" s="76" t="s">
        <v>7</v>
      </c>
      <c r="B5" s="77"/>
      <c r="C5" s="78"/>
      <c r="D5" s="79" t="s">
        <v>8</v>
      </c>
      <c r="E5" s="77"/>
      <c r="F5" s="80"/>
      <c r="G5" s="81" t="s">
        <v>9</v>
      </c>
      <c r="H5" s="82"/>
      <c r="N5" s="2">
        <v>0.35416666666666669</v>
      </c>
    </row>
    <row r="6" spans="1:14" ht="37.5" customHeight="1" thickTop="1" thickBot="1" x14ac:dyDescent="0.3">
      <c r="A6" s="12" t="s">
        <v>10</v>
      </c>
      <c r="B6" s="87">
        <v>45978</v>
      </c>
      <c r="C6" s="88"/>
      <c r="D6" s="4" t="s">
        <v>11</v>
      </c>
      <c r="E6" s="3">
        <f>VLOOKUP($J$3,Hoja2!$A$3:$L$120,9,0)</f>
        <v>4</v>
      </c>
      <c r="F6" s="5" t="s">
        <v>12</v>
      </c>
      <c r="G6" s="9" t="s">
        <v>13</v>
      </c>
      <c r="H6" s="21" t="s">
        <v>165</v>
      </c>
      <c r="J6" s="90"/>
      <c r="K6" s="90"/>
      <c r="N6" s="2">
        <v>0.375</v>
      </c>
    </row>
    <row r="7" spans="1:14" ht="37.5" customHeight="1" thickBot="1" x14ac:dyDescent="0.3">
      <c r="A7" s="13" t="s">
        <v>14</v>
      </c>
      <c r="B7" s="105">
        <v>0.64583333333333337</v>
      </c>
      <c r="C7" s="106"/>
      <c r="D7" s="14" t="s">
        <v>15</v>
      </c>
      <c r="E7" s="87"/>
      <c r="F7" s="88"/>
      <c r="G7" s="10" t="s">
        <v>16</v>
      </c>
      <c r="H7" s="22"/>
      <c r="J7" s="18"/>
      <c r="K7" s="18"/>
      <c r="N7" s="2"/>
    </row>
    <row r="8" spans="1:14" ht="37.5" customHeight="1" thickBot="1" x14ac:dyDescent="0.3">
      <c r="A8" s="13" t="s">
        <v>17</v>
      </c>
      <c r="B8" s="105">
        <v>0.70833333333333337</v>
      </c>
      <c r="C8" s="106"/>
      <c r="D8" s="15" t="s">
        <v>18</v>
      </c>
      <c r="E8" s="87"/>
      <c r="F8" s="88"/>
      <c r="G8" s="11" t="s">
        <v>19</v>
      </c>
      <c r="H8" s="22"/>
      <c r="J8" s="18"/>
      <c r="K8" s="18"/>
      <c r="N8" s="2"/>
    </row>
    <row r="9" spans="1:14" ht="37.5" customHeight="1" thickBot="1" x14ac:dyDescent="0.3">
      <c r="A9" s="7" t="s">
        <v>20</v>
      </c>
      <c r="B9" s="91">
        <f>B8-B7</f>
        <v>6.25E-2</v>
      </c>
      <c r="C9" s="92"/>
      <c r="D9" s="6" t="s">
        <v>21</v>
      </c>
      <c r="E9" s="3">
        <f>NETWORKDAYS(E7,E8)</f>
        <v>0</v>
      </c>
      <c r="F9" s="5" t="s">
        <v>12</v>
      </c>
      <c r="G9" s="19" t="s">
        <v>22</v>
      </c>
      <c r="H9" s="22"/>
      <c r="J9" s="18"/>
      <c r="K9" s="18"/>
      <c r="N9" s="2"/>
    </row>
    <row r="10" spans="1:14" ht="24.75" customHeight="1" thickTop="1" thickBot="1" x14ac:dyDescent="0.3">
      <c r="A10" s="59" t="s">
        <v>23</v>
      </c>
      <c r="B10" s="60"/>
      <c r="C10" s="59" t="s">
        <v>24</v>
      </c>
      <c r="D10" s="61"/>
      <c r="E10" s="93"/>
      <c r="F10" s="94" t="s">
        <v>25</v>
      </c>
      <c r="G10" s="61"/>
      <c r="H10" s="93"/>
      <c r="N10" s="2">
        <v>0.45833333333333398</v>
      </c>
    </row>
    <row r="11" spans="1:14" ht="44.25" customHeight="1" thickBot="1" x14ac:dyDescent="0.3">
      <c r="A11" s="56"/>
      <c r="B11" s="57"/>
      <c r="C11" s="102"/>
      <c r="D11" s="103"/>
      <c r="E11" s="104"/>
      <c r="F11" s="95"/>
      <c r="G11" s="96"/>
      <c r="H11" s="97"/>
      <c r="N11" s="2">
        <v>0.47916666666666702</v>
      </c>
    </row>
    <row r="12" spans="1:14" ht="24.75" customHeight="1" thickBot="1" x14ac:dyDescent="0.3">
      <c r="A12" s="56" t="str">
        <f>C3</f>
        <v>Norma Arcos</v>
      </c>
      <c r="B12" s="57"/>
      <c r="C12" s="56" t="str">
        <f>VLOOKUP($J$3,Hoja2!$A$3:$L$120,4,0)</f>
        <v>Dirección de Tecnologías de la Información</v>
      </c>
      <c r="D12" s="58"/>
      <c r="E12" s="57"/>
      <c r="F12" s="56" t="s">
        <v>26</v>
      </c>
      <c r="G12" s="58"/>
      <c r="H12" s="57"/>
      <c r="N12" s="2">
        <v>0.5</v>
      </c>
    </row>
    <row r="13" spans="1:14" ht="15.75" thickBot="1" x14ac:dyDescent="0.3">
      <c r="A13" s="59" t="s">
        <v>27</v>
      </c>
      <c r="B13" s="60"/>
      <c r="C13" s="59" t="s">
        <v>28</v>
      </c>
      <c r="D13" s="61"/>
      <c r="E13" s="60"/>
      <c r="F13" s="59" t="s">
        <v>29</v>
      </c>
      <c r="G13" s="61"/>
      <c r="H13" s="60"/>
      <c r="N13" s="2">
        <v>0.52083333333333404</v>
      </c>
    </row>
    <row r="14" spans="1:14" x14ac:dyDescent="0.25">
      <c r="A14" s="111" t="s">
        <v>30</v>
      </c>
      <c r="B14" s="112"/>
      <c r="C14" s="112"/>
      <c r="D14" s="112"/>
      <c r="E14" s="113"/>
      <c r="F14" s="117" t="s">
        <v>31</v>
      </c>
      <c r="G14" s="118"/>
      <c r="H14" s="119"/>
      <c r="N14" s="2">
        <v>0.54166666666666696</v>
      </c>
    </row>
    <row r="15" spans="1:14" ht="15.75" thickBot="1" x14ac:dyDescent="0.3">
      <c r="A15" s="114"/>
      <c r="B15" s="115"/>
      <c r="C15" s="115"/>
      <c r="D15" s="115"/>
      <c r="E15" s="116"/>
      <c r="F15" s="120" t="s">
        <v>32</v>
      </c>
      <c r="G15" s="121"/>
      <c r="H15" s="122"/>
      <c r="N15" s="2">
        <v>0.5625</v>
      </c>
    </row>
    <row r="16" spans="1:14" x14ac:dyDescent="0.25">
      <c r="A16" s="20" t="s">
        <v>33</v>
      </c>
      <c r="B16" s="107"/>
      <c r="C16" s="107"/>
      <c r="D16" s="107"/>
      <c r="E16" s="107"/>
      <c r="F16" s="107"/>
      <c r="G16" s="107"/>
      <c r="H16" s="108"/>
      <c r="N16" s="2"/>
    </row>
    <row r="17" spans="1:14" ht="15.75" thickBot="1" x14ac:dyDescent="0.3">
      <c r="A17" s="32"/>
      <c r="B17" s="109"/>
      <c r="C17" s="109"/>
      <c r="D17" s="109"/>
      <c r="E17" s="109"/>
      <c r="F17" s="109"/>
      <c r="G17" s="109"/>
      <c r="H17" s="110"/>
      <c r="N17" s="2"/>
    </row>
    <row r="18" spans="1:14" x14ac:dyDescent="0.25">
      <c r="A18" s="16"/>
      <c r="B18" s="16"/>
      <c r="C18" s="16"/>
      <c r="D18" s="16"/>
      <c r="E18" s="16"/>
      <c r="F18" s="17"/>
      <c r="G18" s="17"/>
      <c r="H18" s="17"/>
      <c r="N18" s="2"/>
    </row>
    <row r="19" spans="1:14" x14ac:dyDescent="0.25">
      <c r="A19" s="16"/>
      <c r="B19" s="16"/>
      <c r="C19" s="16"/>
      <c r="D19" s="16"/>
      <c r="E19" s="16"/>
      <c r="F19" s="17"/>
      <c r="G19" s="17"/>
      <c r="H19" s="17"/>
      <c r="N19" s="2"/>
    </row>
    <row r="20" spans="1:14" x14ac:dyDescent="0.25">
      <c r="A20" s="16"/>
      <c r="B20" s="16"/>
      <c r="C20" s="16"/>
      <c r="D20" s="16"/>
      <c r="E20" s="16"/>
      <c r="F20" s="17"/>
      <c r="G20" s="17"/>
      <c r="H20" s="17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75"/>
      <c r="C23" s="75"/>
      <c r="D23" s="75"/>
      <c r="E23" s="75"/>
      <c r="F23" s="75"/>
      <c r="G23" s="75"/>
      <c r="H23" s="75"/>
      <c r="N23" s="2">
        <v>0.625</v>
      </c>
    </row>
    <row r="24" spans="1:14" ht="15.75" thickBot="1" x14ac:dyDescent="0.3">
      <c r="A24" s="84" t="s">
        <v>0</v>
      </c>
      <c r="B24" s="84"/>
      <c r="C24" s="84"/>
      <c r="D24" s="84"/>
      <c r="E24" s="84"/>
      <c r="F24" s="84"/>
      <c r="G24" s="84"/>
      <c r="H24" s="84"/>
      <c r="N24" s="2">
        <v>0.64583333333333304</v>
      </c>
    </row>
    <row r="25" spans="1:14" ht="25.5" customHeight="1" thickBot="1" x14ac:dyDescent="0.3">
      <c r="A25" s="62" t="s">
        <v>2</v>
      </c>
      <c r="B25" s="63"/>
      <c r="C25" s="62" t="str">
        <f>C3</f>
        <v>Norma Arcos</v>
      </c>
      <c r="D25" s="63"/>
      <c r="E25" s="131" t="s">
        <v>3</v>
      </c>
      <c r="F25" s="132"/>
      <c r="G25" s="131" t="str">
        <f>G3</f>
        <v>Dirección de Tecnologías de la Información</v>
      </c>
      <c r="H25" s="132"/>
      <c r="N25" s="2">
        <v>0.66666666666666696</v>
      </c>
    </row>
    <row r="26" spans="1:14" ht="25.5" customHeight="1" thickTop="1" thickBot="1" x14ac:dyDescent="0.3">
      <c r="A26" s="62" t="s">
        <v>4</v>
      </c>
      <c r="B26" s="63"/>
      <c r="C26" s="64">
        <f>J3</f>
        <v>1719235432</v>
      </c>
      <c r="D26" s="65"/>
      <c r="E26" s="66" t="s">
        <v>5</v>
      </c>
      <c r="F26" s="67"/>
      <c r="G26" s="68">
        <f ca="1">NOW()</f>
        <v>45978.638298611113</v>
      </c>
      <c r="H26" s="69"/>
      <c r="N26" s="2">
        <v>0.6875</v>
      </c>
    </row>
    <row r="27" spans="1:14" ht="25.5" customHeight="1" thickBot="1" x14ac:dyDescent="0.3">
      <c r="A27" s="70" t="s">
        <v>7</v>
      </c>
      <c r="B27" s="71"/>
      <c r="C27" s="72"/>
      <c r="D27" s="70" t="s">
        <v>8</v>
      </c>
      <c r="E27" s="71"/>
      <c r="F27" s="72"/>
      <c r="G27" s="73" t="s">
        <v>9</v>
      </c>
      <c r="H27" s="74"/>
      <c r="N27" s="2">
        <v>0.70833333333333304</v>
      </c>
    </row>
    <row r="28" spans="1:14" ht="37.5" customHeight="1" thickTop="1" thickBot="1" x14ac:dyDescent="0.3">
      <c r="A28" s="12" t="s">
        <v>10</v>
      </c>
      <c r="B28" s="87">
        <f>IF(B6=0," ",B6)</f>
        <v>45978</v>
      </c>
      <c r="C28" s="88"/>
      <c r="D28" s="4" t="str">
        <f>D6</f>
        <v>SALDO DE VACACIONES AL 31/10/2025</v>
      </c>
      <c r="E28" s="3">
        <f>VLOOKUP($J$3,Hoja2!$A$3:$L$120,9,0)</f>
        <v>4</v>
      </c>
      <c r="F28" s="5" t="s">
        <v>12</v>
      </c>
      <c r="G28" s="9" t="s">
        <v>13</v>
      </c>
      <c r="H28" s="23" t="str">
        <f>IF(H6=0," ",H6)</f>
        <v>X</v>
      </c>
      <c r="J28" s="90"/>
      <c r="K28" s="90"/>
      <c r="N28" s="2">
        <v>0.375</v>
      </c>
    </row>
    <row r="29" spans="1:14" ht="37.5" customHeight="1" thickBot="1" x14ac:dyDescent="0.3">
      <c r="A29" s="13" t="s">
        <v>14</v>
      </c>
      <c r="B29" s="105">
        <f>B7</f>
        <v>0.64583333333333337</v>
      </c>
      <c r="C29" s="106"/>
      <c r="D29" s="14" t="s">
        <v>15</v>
      </c>
      <c r="E29" s="127" t="str">
        <f>IF(E7=0," ",E7)</f>
        <v xml:space="preserve"> </v>
      </c>
      <c r="F29" s="63"/>
      <c r="G29" s="10" t="s">
        <v>16</v>
      </c>
      <c r="H29" s="23" t="str">
        <f>IF(H7=0," ",H7)</f>
        <v xml:space="preserve"> </v>
      </c>
      <c r="J29" s="18"/>
      <c r="K29" s="18"/>
      <c r="N29" s="2"/>
    </row>
    <row r="30" spans="1:14" ht="37.5" customHeight="1" thickBot="1" x14ac:dyDescent="0.3">
      <c r="A30" s="13" t="s">
        <v>17</v>
      </c>
      <c r="B30" s="105">
        <f>B8</f>
        <v>0.70833333333333337</v>
      </c>
      <c r="C30" s="106"/>
      <c r="D30" s="15" t="s">
        <v>18</v>
      </c>
      <c r="E30" s="127" t="str">
        <f>IF(E8=0," ",E8)</f>
        <v xml:space="preserve"> </v>
      </c>
      <c r="F30" s="63"/>
      <c r="G30" s="11" t="s">
        <v>19</v>
      </c>
      <c r="H30" s="23" t="str">
        <f>IF(H8=0," ",H8)</f>
        <v xml:space="preserve"> </v>
      </c>
      <c r="J30" s="18"/>
      <c r="K30" s="18"/>
      <c r="N30" s="2"/>
    </row>
    <row r="31" spans="1:14" ht="37.5" customHeight="1" thickBot="1" x14ac:dyDescent="0.3">
      <c r="A31" s="7" t="s">
        <v>20</v>
      </c>
      <c r="B31" s="129">
        <f>B9</f>
        <v>6.25E-2</v>
      </c>
      <c r="C31" s="130"/>
      <c r="D31" s="6" t="s">
        <v>21</v>
      </c>
      <c r="E31" s="3">
        <f>E9</f>
        <v>0</v>
      </c>
      <c r="F31" s="5" t="s">
        <v>12</v>
      </c>
      <c r="G31" s="19" t="s">
        <v>22</v>
      </c>
      <c r="H31" s="24" t="str">
        <f>IF(H9=0," ",H9)</f>
        <v xml:space="preserve"> </v>
      </c>
      <c r="J31" s="18"/>
      <c r="K31" s="18"/>
      <c r="N31" s="2"/>
    </row>
    <row r="32" spans="1:14" ht="19.5" customHeight="1" thickTop="1" thickBot="1" x14ac:dyDescent="0.3">
      <c r="A32" s="94" t="s">
        <v>23</v>
      </c>
      <c r="B32" s="93"/>
      <c r="C32" s="94" t="s">
        <v>24</v>
      </c>
      <c r="D32" s="128"/>
      <c r="E32" s="93"/>
      <c r="F32" s="94" t="s">
        <v>25</v>
      </c>
      <c r="G32" s="128"/>
      <c r="H32" s="93"/>
    </row>
    <row r="33" spans="1:8" ht="50.25" customHeight="1" thickBot="1" x14ac:dyDescent="0.3">
      <c r="A33" s="56"/>
      <c r="B33" s="57"/>
      <c r="C33" s="102"/>
      <c r="D33" s="103"/>
      <c r="E33" s="104"/>
      <c r="F33" s="95"/>
      <c r="G33" s="96"/>
      <c r="H33" s="97"/>
    </row>
    <row r="34" spans="1:8" ht="30.75" customHeight="1" thickBot="1" x14ac:dyDescent="0.3">
      <c r="A34" s="56" t="str">
        <f>C25</f>
        <v>Norma Arcos</v>
      </c>
      <c r="B34" s="57"/>
      <c r="C34" s="56" t="str">
        <f>C12</f>
        <v>Dirección de Tecnologías de la Información</v>
      </c>
      <c r="D34" s="58"/>
      <c r="E34" s="57"/>
      <c r="F34" s="56" t="str">
        <f>F12</f>
        <v>Cristina Pucha</v>
      </c>
      <c r="G34" s="58"/>
      <c r="H34" s="57"/>
    </row>
    <row r="35" spans="1:8" ht="25.5" customHeight="1" thickBot="1" x14ac:dyDescent="0.3">
      <c r="A35" s="59" t="s">
        <v>27</v>
      </c>
      <c r="B35" s="60"/>
      <c r="C35" s="59" t="s">
        <v>28</v>
      </c>
      <c r="D35" s="61"/>
      <c r="E35" s="60"/>
      <c r="F35" s="59" t="s">
        <v>29</v>
      </c>
      <c r="G35" s="61"/>
      <c r="H35" s="60"/>
    </row>
    <row r="36" spans="1:8" ht="15" customHeight="1" x14ac:dyDescent="0.25">
      <c r="A36" s="111" t="s">
        <v>30</v>
      </c>
      <c r="B36" s="112"/>
      <c r="C36" s="112"/>
      <c r="D36" s="112"/>
      <c r="E36" s="113"/>
      <c r="F36" s="117" t="s">
        <v>31</v>
      </c>
      <c r="G36" s="118"/>
      <c r="H36" s="119"/>
    </row>
    <row r="37" spans="1:8" ht="15.75" customHeight="1" thickBot="1" x14ac:dyDescent="0.3">
      <c r="A37" s="50"/>
      <c r="B37" s="51"/>
      <c r="C37" s="51"/>
      <c r="D37" s="51"/>
      <c r="E37" s="52"/>
      <c r="F37" s="53" t="s">
        <v>32</v>
      </c>
      <c r="G37" s="54"/>
      <c r="H37" s="55"/>
    </row>
    <row r="38" spans="1:8" ht="15.75" thickTop="1" x14ac:dyDescent="0.25">
      <c r="A38" s="20" t="s">
        <v>33</v>
      </c>
      <c r="B38" s="123">
        <f>B16</f>
        <v>0</v>
      </c>
      <c r="C38" s="123"/>
      <c r="D38" s="123"/>
      <c r="E38" s="123"/>
      <c r="F38" s="123"/>
      <c r="G38" s="123"/>
      <c r="H38" s="124"/>
    </row>
    <row r="39" spans="1:8" ht="15.75" thickBot="1" x14ac:dyDescent="0.3">
      <c r="A39" s="33" t="str">
        <f>IF(A17=0," ",A17)</f>
        <v xml:space="preserve"> </v>
      </c>
      <c r="B39" s="125"/>
      <c r="C39" s="125"/>
      <c r="D39" s="125"/>
      <c r="E39" s="125"/>
      <c r="F39" s="125"/>
      <c r="G39" s="125"/>
      <c r="H39" s="126"/>
    </row>
  </sheetData>
  <sheetProtection algorithmName="SHA-512" hashValue="rO4sh6ydGtrsdn2a72ZuyvciRG2xDRYTFNwMIV9TJ/noJA9YoaXP291yKES7CWuYHf8AJD8FYj7VhIhgp9bgAQ==" saltValue="A83ODxfwXvCrYvB0m5ladA==" spinCount="100000" sheet="1" objects="1" scenarios="1"/>
  <mergeCells count="77">
    <mergeCell ref="B23:H23"/>
    <mergeCell ref="A24:H24"/>
    <mergeCell ref="A25:B25"/>
    <mergeCell ref="C25:D25"/>
    <mergeCell ref="E25:F25"/>
    <mergeCell ref="G25:H25"/>
    <mergeCell ref="B38:H39"/>
    <mergeCell ref="J28:K28"/>
    <mergeCell ref="B29:C29"/>
    <mergeCell ref="E29:F29"/>
    <mergeCell ref="B30:C30"/>
    <mergeCell ref="E30:F30"/>
    <mergeCell ref="F32:H32"/>
    <mergeCell ref="A33:B33"/>
    <mergeCell ref="C33:E33"/>
    <mergeCell ref="C32:E32"/>
    <mergeCell ref="F33:H33"/>
    <mergeCell ref="B31:C31"/>
    <mergeCell ref="A32:B32"/>
    <mergeCell ref="B28:C28"/>
    <mergeCell ref="A36:E36"/>
    <mergeCell ref="F36:H36"/>
    <mergeCell ref="B16:H17"/>
    <mergeCell ref="C12:E12"/>
    <mergeCell ref="F12:H12"/>
    <mergeCell ref="A13:B13"/>
    <mergeCell ref="C13:E13"/>
    <mergeCell ref="F13:H13"/>
    <mergeCell ref="A14:E14"/>
    <mergeCell ref="A15:E15"/>
    <mergeCell ref="F14:H14"/>
    <mergeCell ref="F15:H15"/>
    <mergeCell ref="A12:B12"/>
    <mergeCell ref="A10:B10"/>
    <mergeCell ref="C10:E10"/>
    <mergeCell ref="F10:H10"/>
    <mergeCell ref="F11:H11"/>
    <mergeCell ref="J2:K2"/>
    <mergeCell ref="J3:K3"/>
    <mergeCell ref="A3:B3"/>
    <mergeCell ref="C3:D3"/>
    <mergeCell ref="E3:F3"/>
    <mergeCell ref="G3:H3"/>
    <mergeCell ref="E7:F7"/>
    <mergeCell ref="E8:F8"/>
    <mergeCell ref="A11:B11"/>
    <mergeCell ref="C11:E11"/>
    <mergeCell ref="B7:C7"/>
    <mergeCell ref="B8:C8"/>
    <mergeCell ref="J4:K4"/>
    <mergeCell ref="B6:C6"/>
    <mergeCell ref="A4:B4"/>
    <mergeCell ref="J6:K6"/>
    <mergeCell ref="B9:C9"/>
    <mergeCell ref="B1:H1"/>
    <mergeCell ref="A5:C5"/>
    <mergeCell ref="D5:F5"/>
    <mergeCell ref="G5:H5"/>
    <mergeCell ref="G4:H4"/>
    <mergeCell ref="C4:D4"/>
    <mergeCell ref="E4:F4"/>
    <mergeCell ref="A2:H2"/>
    <mergeCell ref="A26:B26"/>
    <mergeCell ref="C26:D26"/>
    <mergeCell ref="E26:F26"/>
    <mergeCell ref="G26:H26"/>
    <mergeCell ref="A27:C27"/>
    <mergeCell ref="D27:F27"/>
    <mergeCell ref="G27:H27"/>
    <mergeCell ref="A37:E37"/>
    <mergeCell ref="F37:H37"/>
    <mergeCell ref="A34:B34"/>
    <mergeCell ref="C34:E34"/>
    <mergeCell ref="F34:H34"/>
    <mergeCell ref="A35:B35"/>
    <mergeCell ref="C35:E35"/>
    <mergeCell ref="F35:H35"/>
  </mergeCells>
  <dataValidations disablePrompts="1" count="1">
    <dataValidation type="list" allowBlank="1" showInputMessage="1" showErrorMessage="1" sqref="N5:N31" xr:uid="{9F982157-9E16-4FD5-AB99-743E902B3985}">
      <formula1>$N$5:$N$27</formula1>
    </dataValidation>
  </dataValidations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D20-FC04-425C-BD6C-F6042CD49635}">
  <dimension ref="A1:L101"/>
  <sheetViews>
    <sheetView topLeftCell="A76" zoomScale="60" zoomScaleNormal="60" workbookViewId="0">
      <selection activeCell="D103" sqref="D103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25"/>
      <c r="B1" s="26"/>
      <c r="C1" s="25"/>
      <c r="D1" s="25"/>
      <c r="E1" s="25"/>
      <c r="F1" s="133" t="s">
        <v>34</v>
      </c>
      <c r="G1" s="134"/>
      <c r="H1" s="135"/>
      <c r="I1" s="136" t="s">
        <v>35</v>
      </c>
      <c r="J1" s="136"/>
      <c r="K1" s="136"/>
      <c r="L1" s="136"/>
    </row>
    <row r="2" spans="1:12" ht="25.5" x14ac:dyDescent="0.25">
      <c r="A2" s="28" t="s">
        <v>36</v>
      </c>
      <c r="B2" s="28" t="s">
        <v>37</v>
      </c>
      <c r="C2" s="29" t="s">
        <v>38</v>
      </c>
      <c r="D2" s="28" t="s">
        <v>39</v>
      </c>
      <c r="E2" s="28"/>
      <c r="F2" s="30" t="s">
        <v>40</v>
      </c>
      <c r="G2" s="30" t="s">
        <v>41</v>
      </c>
      <c r="H2" s="30" t="s">
        <v>42</v>
      </c>
      <c r="I2" s="31" t="s">
        <v>43</v>
      </c>
      <c r="J2" s="27" t="s">
        <v>41</v>
      </c>
      <c r="K2" s="27" t="s">
        <v>42</v>
      </c>
      <c r="L2" s="31" t="s">
        <v>44</v>
      </c>
    </row>
    <row r="3" spans="1:12" x14ac:dyDescent="0.25">
      <c r="A3" s="34">
        <v>1713418190</v>
      </c>
      <c r="B3" s="34" t="s">
        <v>45</v>
      </c>
      <c r="C3" s="34" t="s">
        <v>46</v>
      </c>
      <c r="D3" s="34" t="s">
        <v>46</v>
      </c>
      <c r="E3" s="34"/>
      <c r="F3" s="34">
        <f>+'[1]Marilin Salgado'!D4</f>
        <v>139</v>
      </c>
      <c r="G3" s="34">
        <f>+'[1]Marilin Salgado'!E4</f>
        <v>3</v>
      </c>
      <c r="H3" s="35">
        <f>+'[1]Marilin Salgado'!F4</f>
        <v>19.999999999995453</v>
      </c>
      <c r="I3" s="35">
        <f>+'[1]Marilin Salgado'!D5</f>
        <v>18</v>
      </c>
      <c r="J3" s="35">
        <f>+'[1]Marilin Salgado'!E5</f>
        <v>3</v>
      </c>
      <c r="K3" s="35">
        <f>+'[1]Marilin Salgado'!F5</f>
        <v>19.99999999992724</v>
      </c>
      <c r="L3" s="35">
        <f>+'[1]Marilin Salgado'!G5</f>
        <v>24.545454545454547</v>
      </c>
    </row>
    <row r="4" spans="1:12" x14ac:dyDescent="0.25">
      <c r="A4" s="34">
        <v>1003241583</v>
      </c>
      <c r="B4" s="34" t="s">
        <v>47</v>
      </c>
      <c r="C4" s="34" t="s">
        <v>48</v>
      </c>
      <c r="D4" s="34" t="s">
        <v>48</v>
      </c>
      <c r="E4" s="34"/>
      <c r="F4" s="34">
        <f>+'[1]Wilson Lechon'!D5</f>
        <v>144</v>
      </c>
      <c r="G4" s="34">
        <f>+'[1]Wilson Lechon'!E5</f>
        <v>7</v>
      </c>
      <c r="H4" s="35">
        <f>+'[1]Wilson Lechon'!F5</f>
        <v>14.000000000000909</v>
      </c>
      <c r="I4" s="35">
        <f>+'[1]Wilson Lechon'!D6</f>
        <v>0</v>
      </c>
      <c r="J4" s="35">
        <f>+'[1]Wilson Lechon'!E6</f>
        <v>6</v>
      </c>
      <c r="K4" s="35">
        <f>+'[1]Wilson Lechon'!F6</f>
        <v>5.9999999999399733</v>
      </c>
      <c r="L4" s="35">
        <f>+'[1]Wilson Lechon'!G6</f>
        <v>0</v>
      </c>
    </row>
    <row r="5" spans="1:12" x14ac:dyDescent="0.25">
      <c r="A5" s="34">
        <v>1713586129</v>
      </c>
      <c r="B5" s="34" t="s">
        <v>49</v>
      </c>
      <c r="C5" s="34" t="s">
        <v>46</v>
      </c>
      <c r="D5" s="34" t="s">
        <v>46</v>
      </c>
      <c r="E5" s="34"/>
      <c r="F5" s="34">
        <f>+'[1]Johanna Portilla'!D4</f>
        <v>138</v>
      </c>
      <c r="G5" s="34">
        <f>+'[1]Johanna Portilla'!E4</f>
        <v>6</v>
      </c>
      <c r="H5" s="35">
        <f>+'[1]Johanna Portilla'!F4</f>
        <v>42.000000000002728</v>
      </c>
      <c r="I5" s="35">
        <f>+'[1]Johanna Portilla'!D5</f>
        <v>21</v>
      </c>
      <c r="J5" s="35">
        <f>+'[1]Johanna Portilla'!E5</f>
        <v>3</v>
      </c>
      <c r="K5" s="35">
        <f>+'[1]Johanna Portilla'!F5</f>
        <v>57.999999999933607</v>
      </c>
      <c r="L5" s="35">
        <f>+'[1]Johanna Portilla'!G5</f>
        <v>28.636363636363637</v>
      </c>
    </row>
    <row r="6" spans="1:12" x14ac:dyDescent="0.25">
      <c r="A6" s="34">
        <v>1102049705</v>
      </c>
      <c r="B6" s="34" t="s">
        <v>50</v>
      </c>
      <c r="C6" s="34" t="s">
        <v>51</v>
      </c>
      <c r="D6" s="34" t="s">
        <v>51</v>
      </c>
      <c r="E6" s="34"/>
      <c r="F6" s="34">
        <f>+'[1]Mabel Córdova'!D4</f>
        <v>145</v>
      </c>
      <c r="G6" s="34">
        <f>+'[1]Mabel Córdova'!E4</f>
        <v>5</v>
      </c>
      <c r="H6" s="35">
        <f>+'[1]Mabel Córdova'!F4</f>
        <v>56.000000000003638</v>
      </c>
      <c r="I6" s="35">
        <f>+'[1]Mabel Córdova'!D5</f>
        <v>27</v>
      </c>
      <c r="J6" s="35">
        <f>+'[1]Mabel Córdova'!E5</f>
        <v>4</v>
      </c>
      <c r="K6" s="35">
        <f>+'[1]Mabel Córdova'!F5</f>
        <v>43.999999999932697</v>
      </c>
      <c r="L6" s="35">
        <f>+'[1]Mabel Córdova'!G5</f>
        <v>36.81818181818182</v>
      </c>
    </row>
    <row r="7" spans="1:12" ht="25.5" x14ac:dyDescent="0.25">
      <c r="A7" s="34">
        <v>1705685657</v>
      </c>
      <c r="B7" s="34" t="s">
        <v>52</v>
      </c>
      <c r="C7" s="36" t="s">
        <v>53</v>
      </c>
      <c r="D7" s="36" t="s">
        <v>54</v>
      </c>
      <c r="E7" s="34"/>
      <c r="F7" s="34">
        <f>+'[1]José Andrade'!D5</f>
        <v>150</v>
      </c>
      <c r="G7" s="34">
        <f>+'[1]José Andrade'!E5</f>
        <v>7</v>
      </c>
      <c r="H7" s="35">
        <f>+'[1]José Andrade'!F5</f>
        <v>48.999999999996362</v>
      </c>
      <c r="I7" s="35">
        <f>+'[1]José Andrade'!D6</f>
        <v>20</v>
      </c>
      <c r="J7" s="35">
        <f>+'[1]José Andrade'!E6</f>
        <v>1</v>
      </c>
      <c r="K7" s="35">
        <f>+'[1]José Andrade'!F6</f>
        <v>30.999999999917236</v>
      </c>
      <c r="L7" s="35">
        <f>+'[1]José Andrade'!G6</f>
        <v>27.272727272727273</v>
      </c>
    </row>
    <row r="8" spans="1:12" x14ac:dyDescent="0.25">
      <c r="A8" s="34">
        <v>1714728738</v>
      </c>
      <c r="B8" s="34" t="s">
        <v>55</v>
      </c>
      <c r="C8" s="34" t="s">
        <v>56</v>
      </c>
      <c r="D8" s="34" t="s">
        <v>48</v>
      </c>
      <c r="E8" s="34"/>
      <c r="F8" s="34">
        <f>'[1]Jeanine Alvear'!D6</f>
        <v>161</v>
      </c>
      <c r="G8" s="34">
        <f>'[1]Jeanine Alvear'!E6</f>
        <v>0</v>
      </c>
      <c r="H8" s="35">
        <f>'[1]Jeanine Alvear'!F6</f>
        <v>28.000000000001819</v>
      </c>
      <c r="I8" s="35">
        <f>'[1]Jeanine Alvear'!D7</f>
        <v>21</v>
      </c>
      <c r="J8" s="35">
        <f>'[1]Jeanine Alvear'!E7</f>
        <v>4</v>
      </c>
      <c r="K8" s="35">
        <f>'[1]Jeanine Alvear'!F7</f>
        <v>51.999999999911779</v>
      </c>
      <c r="L8" s="35">
        <f>'[1]Jeanine Alvear'!G7</f>
        <v>28.636363636363637</v>
      </c>
    </row>
    <row r="9" spans="1:12" x14ac:dyDescent="0.25">
      <c r="A9" s="34">
        <v>1719055830</v>
      </c>
      <c r="B9" s="34" t="s">
        <v>57</v>
      </c>
      <c r="C9" s="34" t="s">
        <v>56</v>
      </c>
      <c r="D9" s="34" t="s">
        <v>56</v>
      </c>
      <c r="E9" s="34"/>
      <c r="F9" s="34">
        <f>+'[1]María José Almache'!D5</f>
        <v>146</v>
      </c>
      <c r="G9" s="34">
        <f>+'[1]María José Almache'!E5</f>
        <v>0</v>
      </c>
      <c r="H9" s="35">
        <f>+'[1]María José Almache'!F5</f>
        <v>17.999999999997272</v>
      </c>
      <c r="I9" s="35">
        <f>+'[1]María José Almache'!D6</f>
        <v>13</v>
      </c>
      <c r="J9" s="35">
        <f>+'[1]María José Almache'!E6</f>
        <v>1</v>
      </c>
      <c r="K9" s="35">
        <f>+'[1]María José Almache'!F6</f>
        <v>1.9999999999163265</v>
      </c>
      <c r="L9" s="35">
        <f>+'[1]María José Almache'!G6</f>
        <v>17.727272727272727</v>
      </c>
    </row>
    <row r="10" spans="1:12" x14ac:dyDescent="0.25">
      <c r="A10" s="34">
        <v>1717498396</v>
      </c>
      <c r="B10" s="34" t="s">
        <v>58</v>
      </c>
      <c r="C10" s="34" t="s">
        <v>59</v>
      </c>
      <c r="D10" s="34" t="s">
        <v>59</v>
      </c>
      <c r="E10" s="34"/>
      <c r="F10" s="34">
        <f>+'[1]Paola Cadena'!D4</f>
        <v>125</v>
      </c>
      <c r="G10" s="34">
        <f>+'[1]Paola Cadena'!E4</f>
        <v>6</v>
      </c>
      <c r="H10" s="34">
        <f>+'[1]Paola Cadena'!F4</f>
        <v>50.000000000002274</v>
      </c>
      <c r="I10" s="34">
        <f>+'[1]Paola Cadena'!D5</f>
        <v>20</v>
      </c>
      <c r="J10" s="34">
        <f>+'[1]Paola Cadena'!E5</f>
        <v>3</v>
      </c>
      <c r="K10" s="34">
        <f>+'[1]Paola Cadena'!F5</f>
        <v>49.999999999920419</v>
      </c>
      <c r="L10" s="35">
        <f>+'[1]Paola Cadena'!G5</f>
        <v>27.272727272727273</v>
      </c>
    </row>
    <row r="11" spans="1:12" x14ac:dyDescent="0.25">
      <c r="A11" s="34">
        <v>1711331668</v>
      </c>
      <c r="B11" s="34" t="s">
        <v>60</v>
      </c>
      <c r="C11" s="34" t="s">
        <v>61</v>
      </c>
      <c r="D11" s="34" t="s">
        <v>61</v>
      </c>
      <c r="E11" s="34"/>
      <c r="F11" s="34">
        <f>+'[1]Gabriela Banda'!D4</f>
        <v>89</v>
      </c>
      <c r="G11" s="34">
        <f>+'[1]Gabriela Banda'!E4</f>
        <v>3</v>
      </c>
      <c r="H11" s="34">
        <f>+'[1]Gabriela Banda'!F4</f>
        <v>30.999999999999091</v>
      </c>
      <c r="I11" s="34">
        <f>+'[1]Gabriela Banda'!D5</f>
        <v>15</v>
      </c>
      <c r="J11" s="34">
        <f>+'[1]Gabriela Banda'!E5</f>
        <v>4</v>
      </c>
      <c r="K11" s="34">
        <f>+'[1]Gabriela Banda'!F5</f>
        <v>44.999999999959073</v>
      </c>
      <c r="L11" s="35">
        <f>+'[1]Gabriela Banda'!G5</f>
        <v>20.454545454545453</v>
      </c>
    </row>
    <row r="12" spans="1:12" x14ac:dyDescent="0.25">
      <c r="A12" s="34">
        <v>501692511</v>
      </c>
      <c r="B12" s="34" t="s">
        <v>62</v>
      </c>
      <c r="C12" s="34" t="s">
        <v>46</v>
      </c>
      <c r="D12" s="34" t="s">
        <v>46</v>
      </c>
      <c r="E12" s="34"/>
      <c r="F12" s="34">
        <f>+'[1]Antonieta Araujo'!D6</f>
        <v>122</v>
      </c>
      <c r="G12" s="34">
        <f>+'[1]Antonieta Araujo'!E6</f>
        <v>0</v>
      </c>
      <c r="H12" s="35">
        <f>+'[1]Antonieta Araujo'!F6</f>
        <v>30.999999999999091</v>
      </c>
      <c r="I12" s="34">
        <f>+'[1]Antonieta Araujo'!D7</f>
        <v>28</v>
      </c>
      <c r="J12" s="34">
        <f>+'[1]Antonieta Araujo'!E7</f>
        <v>3</v>
      </c>
      <c r="K12" s="35">
        <f>+'[1]Antonieta Araujo'!F7</f>
        <v>28.999999999932697</v>
      </c>
      <c r="L12" s="35">
        <f>+'[1]Antonieta Araujo'!G7</f>
        <v>38.18181818181818</v>
      </c>
    </row>
    <row r="13" spans="1:12" x14ac:dyDescent="0.25">
      <c r="A13" s="34">
        <v>1715594287</v>
      </c>
      <c r="B13" s="34" t="s">
        <v>63</v>
      </c>
      <c r="C13" s="34" t="s">
        <v>59</v>
      </c>
      <c r="D13" s="34" t="s">
        <v>64</v>
      </c>
      <c r="E13" s="34"/>
      <c r="F13" s="34">
        <f>+'[1]Jenny Carrillo'!D4</f>
        <v>127</v>
      </c>
      <c r="G13" s="34">
        <f>+'[1]Jenny Carrillo'!E4</f>
        <v>0</v>
      </c>
      <c r="H13" s="34">
        <f>+'[1]Jenny Carrillo'!F4</f>
        <v>4.0000000000031832</v>
      </c>
      <c r="I13" s="34">
        <f>+'[1]Jenny Carrillo'!D5</f>
        <v>23</v>
      </c>
      <c r="J13" s="34">
        <f>+'[1]Jenny Carrillo'!E5</f>
        <v>1</v>
      </c>
      <c r="K13" s="35">
        <f>+'[1]Antonieta Araujo'!F8</f>
        <v>0</v>
      </c>
      <c r="L13" s="35">
        <f>+'[1]Jenny Carrillo'!G5</f>
        <v>31.363636363636363</v>
      </c>
    </row>
    <row r="14" spans="1:12" x14ac:dyDescent="0.25">
      <c r="A14" s="34">
        <v>401075031</v>
      </c>
      <c r="B14" s="34" t="s">
        <v>65</v>
      </c>
      <c r="C14" s="34" t="s">
        <v>66</v>
      </c>
      <c r="D14" s="34" t="s">
        <v>66</v>
      </c>
      <c r="E14" s="34"/>
      <c r="F14" s="34">
        <f>+'[1]Viviana de la Cadena'!D6</f>
        <v>158</v>
      </c>
      <c r="G14" s="34">
        <f>+'[1]Viviana de la Cadena'!E6</f>
        <v>4</v>
      </c>
      <c r="H14" s="34">
        <f>+'[1]Viviana de la Cadena'!F6</f>
        <v>30.999999999999091</v>
      </c>
      <c r="I14" s="34">
        <f>+'[1]Viviana de la Cadena'!D7</f>
        <v>18</v>
      </c>
      <c r="J14" s="34">
        <f>+'[1]Viviana de la Cadena'!E7</f>
        <v>0</v>
      </c>
      <c r="K14" s="34">
        <f>+'[1]Viviana de la Cadena'!F7</f>
        <v>48.999999999914507</v>
      </c>
      <c r="L14" s="35">
        <f>+'[1]Viviana de la Cadena'!G7</f>
        <v>24.545454545454547</v>
      </c>
    </row>
    <row r="15" spans="1:12" ht="25.5" x14ac:dyDescent="0.25">
      <c r="A15" s="34">
        <v>502811573</v>
      </c>
      <c r="B15" s="34" t="s">
        <v>67</v>
      </c>
      <c r="C15" s="36" t="s">
        <v>54</v>
      </c>
      <c r="D15" s="36" t="s">
        <v>54</v>
      </c>
      <c r="E15" s="34"/>
      <c r="F15" s="34">
        <f>+'[1]Lorena Erazo'!D6</f>
        <v>134</v>
      </c>
      <c r="G15" s="34">
        <f>+'[1]Lorena Erazo'!E6</f>
        <v>0</v>
      </c>
      <c r="H15" s="34">
        <f>+'[1]Lorena Erazo'!F6</f>
        <v>35.999999999994543</v>
      </c>
      <c r="I15" s="34">
        <f>+'[1]Lorena Erazo'!D7</f>
        <v>39</v>
      </c>
      <c r="J15" s="34">
        <f>+'[1]Lorena Erazo'!E7</f>
        <v>4</v>
      </c>
      <c r="K15" s="34">
        <f>+'[1]Lorena Erazo'!F7</f>
        <v>43.999999999919055</v>
      </c>
      <c r="L15" s="35">
        <f>+'[1]Lorena Erazo'!G7</f>
        <v>53.18181818181818</v>
      </c>
    </row>
    <row r="16" spans="1:12" x14ac:dyDescent="0.25">
      <c r="A16" s="34">
        <v>1714505433</v>
      </c>
      <c r="B16" s="34" t="s">
        <v>68</v>
      </c>
      <c r="C16" s="34" t="s">
        <v>69</v>
      </c>
      <c r="D16" s="34" t="s">
        <v>69</v>
      </c>
      <c r="E16" s="34"/>
      <c r="F16" s="34">
        <f>+'[1]Victoria Guerra'!D5</f>
        <v>154</v>
      </c>
      <c r="G16" s="34">
        <f>+'[1]Victoria Guerra'!E5</f>
        <v>3</v>
      </c>
      <c r="H16" s="34">
        <f>+'[1]Victoria Guerra'!F5</f>
        <v>20.999999999994543</v>
      </c>
      <c r="I16" s="34">
        <f>+'[1]Victoria Guerra'!D6</f>
        <v>31</v>
      </c>
      <c r="J16" s="34">
        <f>+'[1]Victoria Guerra'!E6</f>
        <v>7</v>
      </c>
      <c r="K16" s="34">
        <f>+'[1]Victoria Guerra'!F6</f>
        <v>18.999999999941792</v>
      </c>
      <c r="L16" s="35">
        <f>+'[1]Victoria Guerra'!G6</f>
        <v>42.272727272727273</v>
      </c>
    </row>
    <row r="17" spans="1:12" x14ac:dyDescent="0.25">
      <c r="A17" s="34">
        <v>1720496791</v>
      </c>
      <c r="B17" s="34" t="s">
        <v>70</v>
      </c>
      <c r="C17" s="34" t="s">
        <v>71</v>
      </c>
      <c r="D17" s="34" t="s">
        <v>72</v>
      </c>
      <c r="E17" s="34"/>
      <c r="F17" s="34">
        <f>+'[1]Renan Guerrero'!D4</f>
        <v>108</v>
      </c>
      <c r="G17" s="34">
        <f>+'[1]Renan Guerrero'!E4</f>
        <v>4</v>
      </c>
      <c r="H17" s="34">
        <f>+'[1]Renan Guerrero'!F4</f>
        <v>52.000000000000455</v>
      </c>
      <c r="I17" s="34">
        <f>+'[1]Renan Guerrero'!D5</f>
        <v>33</v>
      </c>
      <c r="J17" s="34">
        <f>+'[1]Renan Guerrero'!E5</f>
        <v>1</v>
      </c>
      <c r="K17" s="34">
        <f>+'[1]Renan Guerrero'!F5</f>
        <v>47.999999999908596</v>
      </c>
      <c r="L17" s="35">
        <f>+'[1]Renan Guerrero'!G5</f>
        <v>45</v>
      </c>
    </row>
    <row r="18" spans="1:12" x14ac:dyDescent="0.25">
      <c r="A18" s="34">
        <v>1103992416</v>
      </c>
      <c r="B18" s="34" t="s">
        <v>73</v>
      </c>
      <c r="C18" s="34" t="s">
        <v>48</v>
      </c>
      <c r="D18" s="34" t="s">
        <v>51</v>
      </c>
      <c r="E18" s="34"/>
      <c r="F18" s="34">
        <f>+'[1]Henrry Guzman'!D4</f>
        <v>140</v>
      </c>
      <c r="G18" s="34">
        <f>+'[1]Henrry Guzman'!E4</f>
        <v>0</v>
      </c>
      <c r="H18" s="34">
        <f>+'[1]Henrry Guzman'!F4</f>
        <v>30</v>
      </c>
      <c r="I18" s="34">
        <f>+'[1]Henrry Guzman'!D5</f>
        <v>23</v>
      </c>
      <c r="J18" s="34">
        <f>+'[1]Henrry Guzman'!E5</f>
        <v>0</v>
      </c>
      <c r="K18" s="34">
        <f>+'[1]Henrry Guzman'!F5</f>
        <v>49.99999999992724</v>
      </c>
      <c r="L18" s="35">
        <f>+'[1]Henrry Guzman'!G5</f>
        <v>31.363636363636363</v>
      </c>
    </row>
    <row r="19" spans="1:12" x14ac:dyDescent="0.25">
      <c r="A19" s="34">
        <v>401030523</v>
      </c>
      <c r="B19" s="34" t="s">
        <v>74</v>
      </c>
      <c r="C19" s="34" t="s">
        <v>71</v>
      </c>
      <c r="D19" s="34" t="s">
        <v>71</v>
      </c>
      <c r="E19" s="34"/>
      <c r="F19" s="34">
        <f>+'[1]Lenin Illapa'!D4</f>
        <v>136</v>
      </c>
      <c r="G19" s="34">
        <f>+'[1]Lenin Illapa'!E4</f>
        <v>5</v>
      </c>
      <c r="H19" s="34">
        <f>+'[1]Lenin Illapa'!F4</f>
        <v>25.000000000004547</v>
      </c>
      <c r="I19" s="34">
        <f>+'[1]Lenin Illapa'!D5</f>
        <v>8</v>
      </c>
      <c r="J19" s="34">
        <f>+'[1]Lenin Illapa'!E5</f>
        <v>5</v>
      </c>
      <c r="K19" s="34">
        <f>+'[1]Lenin Illapa'!F5</f>
        <v>14.999999999918145</v>
      </c>
      <c r="L19" s="35">
        <f>+'[1]Lenin Illapa'!G5</f>
        <v>10.909090909090908</v>
      </c>
    </row>
    <row r="20" spans="1:12" x14ac:dyDescent="0.25">
      <c r="A20" s="34">
        <v>1802921617</v>
      </c>
      <c r="B20" s="34" t="s">
        <v>75</v>
      </c>
      <c r="C20" s="34" t="s">
        <v>56</v>
      </c>
      <c r="D20" s="34" t="s">
        <v>76</v>
      </c>
      <c r="E20" s="34"/>
      <c r="F20" s="34">
        <f>+'[1]Maria Elena Llerena'!D4</f>
        <v>139</v>
      </c>
      <c r="G20" s="34">
        <f t="shared" ref="G20:H20" si="0">$F$20</f>
        <v>139</v>
      </c>
      <c r="H20" s="34">
        <f t="shared" si="0"/>
        <v>139</v>
      </c>
      <c r="I20" s="34">
        <f>+'[1]Maria Elena Llerena'!D5</f>
        <v>9</v>
      </c>
      <c r="J20" s="34">
        <f>+'[1]Maria Elena Llerena'!E5</f>
        <v>6</v>
      </c>
      <c r="K20" s="34">
        <f>+'[1]Maria Elena Llerena'!F5</f>
        <v>11.999999999907232</v>
      </c>
      <c r="L20" s="35">
        <f>+'[1]Maria Elena Llerena'!G5</f>
        <v>12.272727272727273</v>
      </c>
    </row>
    <row r="21" spans="1:12" x14ac:dyDescent="0.25">
      <c r="A21" s="34">
        <v>801553215</v>
      </c>
      <c r="B21" s="34" t="s">
        <v>77</v>
      </c>
      <c r="C21" s="34" t="s">
        <v>69</v>
      </c>
      <c r="D21" s="34" t="s">
        <v>69</v>
      </c>
      <c r="E21" s="34"/>
      <c r="F21" s="34">
        <f>+'[1]Verónica Marchan'!D4</f>
        <v>140</v>
      </c>
      <c r="G21" s="34">
        <f>+'[1]Verónica Marchan'!E4</f>
        <v>4</v>
      </c>
      <c r="H21" s="34">
        <f>+'[1]Verónica Marchan'!F4</f>
        <v>36.999999999993634</v>
      </c>
      <c r="I21" s="34">
        <f>+'[1]Verónica Marchan'!D5</f>
        <v>24</v>
      </c>
      <c r="J21" s="34">
        <f>+'[1]Verónica Marchan'!E5</f>
        <v>6</v>
      </c>
      <c r="K21" s="34">
        <f>+'[1]Verónica Marchan'!F5</f>
        <v>2.9999999999427018</v>
      </c>
      <c r="L21" s="35">
        <f>+'[1]Verónica Marchan'!G5</f>
        <v>32.727272727272727</v>
      </c>
    </row>
    <row r="22" spans="1:12" x14ac:dyDescent="0.25">
      <c r="A22" s="34">
        <v>1724351406</v>
      </c>
      <c r="B22" s="34" t="s">
        <v>78</v>
      </c>
      <c r="C22" s="34" t="s">
        <v>46</v>
      </c>
      <c r="D22" s="34" t="s">
        <v>46</v>
      </c>
      <c r="E22" s="34"/>
      <c r="F22" s="34">
        <f>+'[1]Byron Mera'!D4</f>
        <v>143</v>
      </c>
      <c r="G22" s="34">
        <f>+'[1]Byron Mera'!E4</f>
        <v>6</v>
      </c>
      <c r="H22" s="34">
        <f>+'[1]Byron Mera'!F4</f>
        <v>42.000000000002728</v>
      </c>
      <c r="I22" s="34">
        <f>+'[1]Byron Mera'!D5</f>
        <v>7</v>
      </c>
      <c r="J22" s="34">
        <f>+'[1]Byron Mera'!E5</f>
        <v>5</v>
      </c>
      <c r="K22" s="34">
        <f>+'[1]Byron Mera'!F5</f>
        <v>17.999999999888132</v>
      </c>
      <c r="L22" s="35">
        <f>+'[1]Byron Mera'!G5</f>
        <v>9.545454545454545</v>
      </c>
    </row>
    <row r="23" spans="1:12" x14ac:dyDescent="0.25">
      <c r="A23" s="34">
        <v>1712911468</v>
      </c>
      <c r="B23" s="34" t="s">
        <v>79</v>
      </c>
      <c r="C23" s="34" t="s">
        <v>51</v>
      </c>
      <c r="D23" s="34" t="s">
        <v>51</v>
      </c>
      <c r="E23" s="34"/>
      <c r="F23" s="34">
        <f>+'[1]Mónica Muñoz'!D5</f>
        <v>166</v>
      </c>
      <c r="G23" s="34">
        <f>+'[1]Mónica Muñoz'!E5</f>
        <v>3</v>
      </c>
      <c r="H23" s="34">
        <f>+'[1]Mónica Muñoz'!F5</f>
        <v>24.000000000005457</v>
      </c>
      <c r="I23" s="34">
        <f>+'[1]Mónica Muñoz'!D6</f>
        <v>19</v>
      </c>
      <c r="J23" s="34">
        <f>+'[1]Mónica Muñoz'!E6</f>
        <v>0</v>
      </c>
      <c r="K23" s="34">
        <f>+'[1]Mónica Muñoz'!F6</f>
        <v>35.999999999871761</v>
      </c>
      <c r="L23" s="35">
        <f>+'[1]Mónica Muñoz'!G6</f>
        <v>25.90909090909091</v>
      </c>
    </row>
    <row r="24" spans="1:12" x14ac:dyDescent="0.25">
      <c r="A24" s="34">
        <v>1712610953</v>
      </c>
      <c r="B24" s="34" t="s">
        <v>80</v>
      </c>
      <c r="C24" s="34" t="s">
        <v>46</v>
      </c>
      <c r="D24" s="34" t="s">
        <v>46</v>
      </c>
      <c r="E24" s="34"/>
      <c r="F24" s="34">
        <f>+'[1]Sandra Negrete'!D4</f>
        <v>134</v>
      </c>
      <c r="G24" s="34">
        <f>+'[1]Sandra Negrete'!E4</f>
        <v>4</v>
      </c>
      <c r="H24" s="34">
        <f>+'[1]Sandra Negrete'!F4</f>
        <v>28.000000000001819</v>
      </c>
      <c r="I24" s="34">
        <f>+'[1]Sandra Negrete'!D5</f>
        <v>15</v>
      </c>
      <c r="J24" s="34">
        <f>+'[1]Sandra Negrete'!E5</f>
        <v>7</v>
      </c>
      <c r="K24" s="34">
        <f>+'[1]Sandra Negrete'!F5</f>
        <v>31.999999999916326</v>
      </c>
      <c r="L24" s="35">
        <f>+'[1]Sandra Negrete'!G5</f>
        <v>20.454545454545453</v>
      </c>
    </row>
    <row r="25" spans="1:12" x14ac:dyDescent="0.25">
      <c r="A25" s="34">
        <v>1713427548</v>
      </c>
      <c r="B25" s="34" t="s">
        <v>81</v>
      </c>
      <c r="C25" s="34" t="s">
        <v>71</v>
      </c>
      <c r="D25" s="34" t="s">
        <v>71</v>
      </c>
      <c r="E25" s="34"/>
      <c r="F25" s="34">
        <f>+'[1]Joe Ortiz'!D5</f>
        <v>118</v>
      </c>
      <c r="G25" s="34">
        <f>+'[1]Joe Ortiz'!E5</f>
        <v>1</v>
      </c>
      <c r="H25" s="35">
        <f>+'[1]Joe Ortiz'!F5</f>
        <v>49.000000000003183</v>
      </c>
      <c r="I25" s="34">
        <f>+'[1]Joe Ortiz'!D6</f>
        <v>25</v>
      </c>
      <c r="J25" s="34">
        <f>+'[1]Joe Ortiz'!E6</f>
        <v>2</v>
      </c>
      <c r="K25" s="35">
        <f>+'[1]Joe Ortiz'!F6</f>
        <v>10.999999999914962</v>
      </c>
      <c r="L25" s="35">
        <f>+'[1]Joe Ortiz'!G6</f>
        <v>34.090909090909093</v>
      </c>
    </row>
    <row r="26" spans="1:12" x14ac:dyDescent="0.25">
      <c r="A26" s="34">
        <v>1720669561</v>
      </c>
      <c r="B26" s="34" t="s">
        <v>26</v>
      </c>
      <c r="C26" s="34" t="s">
        <v>46</v>
      </c>
      <c r="D26" s="34" t="s">
        <v>46</v>
      </c>
      <c r="E26" s="34"/>
      <c r="F26" s="34">
        <f>+'[1]Cristina Pucha'!D4</f>
        <v>142</v>
      </c>
      <c r="G26" s="34">
        <f>+'[1]Cristina Pucha'!E4</f>
        <v>6</v>
      </c>
      <c r="H26" s="34">
        <f>+'[1]Cristina Pucha'!F4</f>
        <v>30.999999999999091</v>
      </c>
      <c r="I26" s="34">
        <f>+'[1]Cristina Pucha'!D5</f>
        <v>18</v>
      </c>
      <c r="J26" s="34">
        <f>+'[1]Cristina Pucha'!E5</f>
        <v>4</v>
      </c>
      <c r="K26" s="34">
        <f>+'[1]Cristina Pucha'!F5</f>
        <v>8.9999999999372449</v>
      </c>
      <c r="L26" s="35">
        <f>+'[1]Cristina Pucha'!G5</f>
        <v>24.545454545454547</v>
      </c>
    </row>
    <row r="27" spans="1:12" x14ac:dyDescent="0.25">
      <c r="A27" s="34">
        <v>401077276</v>
      </c>
      <c r="B27" s="34" t="s">
        <v>82</v>
      </c>
      <c r="C27" s="34" t="s">
        <v>83</v>
      </c>
      <c r="D27" s="34" t="s">
        <v>83</v>
      </c>
      <c r="E27" s="34"/>
      <c r="F27" s="34">
        <f>+'[1]María Dolores Ponce'!D4</f>
        <v>136</v>
      </c>
      <c r="G27" s="34">
        <f>+'[1]María Dolores Ponce'!E4</f>
        <v>1</v>
      </c>
      <c r="H27" s="34">
        <f>+'[1]María Dolores Ponce'!F4</f>
        <v>10.000000000004547</v>
      </c>
      <c r="I27" s="34">
        <f>+'[1]María Dolores Ponce'!D5</f>
        <v>16</v>
      </c>
      <c r="J27" s="34">
        <f>+'[1]María Dolores Ponce'!E5</f>
        <v>0</v>
      </c>
      <c r="K27" s="34">
        <f>+'[1]María Dolores Ponce'!F5</f>
        <v>9.999999999922693</v>
      </c>
      <c r="L27" s="35">
        <f>+'[1]María Dolores Ponce'!G5</f>
        <v>21.818181818181817</v>
      </c>
    </row>
    <row r="28" spans="1:12" x14ac:dyDescent="0.25">
      <c r="A28" s="34">
        <v>801780479</v>
      </c>
      <c r="B28" s="34" t="s">
        <v>84</v>
      </c>
      <c r="C28" s="34" t="s">
        <v>83</v>
      </c>
      <c r="D28" s="34" t="s">
        <v>83</v>
      </c>
      <c r="E28" s="34"/>
      <c r="F28" s="34">
        <f>+'[1]Teresa Rea'!D4</f>
        <v>101</v>
      </c>
      <c r="G28" s="34">
        <f>+'[1]Teresa Rea'!E4</f>
        <v>6</v>
      </c>
      <c r="H28" s="35">
        <f>+'[1]Teresa Rea'!F4</f>
        <v>25.999999999996817</v>
      </c>
      <c r="I28" s="34">
        <f>+'[1]Teresa Rea'!D5</f>
        <v>44</v>
      </c>
      <c r="J28" s="34">
        <f>+'[1]Teresa Rea'!E5</f>
        <v>4</v>
      </c>
      <c r="K28" s="35">
        <f>+'[1]Teresa Rea'!F5</f>
        <v>13.999999999912234</v>
      </c>
      <c r="L28" s="35">
        <f>+'[1]Teresa Rea'!G5</f>
        <v>60</v>
      </c>
    </row>
    <row r="29" spans="1:12" x14ac:dyDescent="0.25">
      <c r="A29" s="34">
        <v>501879373</v>
      </c>
      <c r="B29" s="34" t="s">
        <v>85</v>
      </c>
      <c r="C29" s="34" t="s">
        <v>61</v>
      </c>
      <c r="D29" s="34" t="s">
        <v>61</v>
      </c>
      <c r="E29" s="34"/>
      <c r="F29" s="34">
        <f>+'[1]Idilia Reinoso'!D4</f>
        <v>144</v>
      </c>
      <c r="G29" s="34">
        <f>+'[1]Idilia Reinoso'!E4</f>
        <v>2</v>
      </c>
      <c r="H29" s="34">
        <f>+'[1]Idilia Reinoso'!F4</f>
        <v>16.999999999998181</v>
      </c>
      <c r="I29" s="34">
        <f>+'[1]Idilia Reinoso'!D5</f>
        <v>14</v>
      </c>
      <c r="J29" s="34">
        <f>+'[1]Idilia Reinoso'!E5</f>
        <v>0</v>
      </c>
      <c r="K29" s="34">
        <f>+'[1]Idilia Reinoso'!F5</f>
        <v>22.99999999991087</v>
      </c>
      <c r="L29" s="35">
        <f>+'[1]Idilia Reinoso'!G5</f>
        <v>19.09090909090909</v>
      </c>
    </row>
    <row r="30" spans="1:12" ht="25.5" x14ac:dyDescent="0.25">
      <c r="A30" s="34">
        <v>603200544</v>
      </c>
      <c r="B30" s="34" t="s">
        <v>86</v>
      </c>
      <c r="C30" s="36" t="s">
        <v>54</v>
      </c>
      <c r="D30" s="36" t="s">
        <v>54</v>
      </c>
      <c r="E30" s="34"/>
      <c r="F30" s="34">
        <f>+'[1]Fabian Romero'!D4</f>
        <v>130</v>
      </c>
      <c r="G30" s="34">
        <f>+'[1]Fabian Romero'!E4</f>
        <v>5</v>
      </c>
      <c r="H30" s="34">
        <f>+'[1]Fabian Romero'!F4</f>
        <v>29.000000000000909</v>
      </c>
      <c r="I30" s="34">
        <f>+'[1]Fabian Romero'!D5</f>
        <v>9</v>
      </c>
      <c r="J30" s="34">
        <f>+'[1]Fabian Romero'!E5</f>
        <v>3</v>
      </c>
      <c r="K30" s="34">
        <f>+'[1]Fabian Romero'!F5</f>
        <v>50.999999999912689</v>
      </c>
      <c r="L30" s="35">
        <f>+'[1]Fabian Romero'!G5</f>
        <v>12.272727272727273</v>
      </c>
    </row>
    <row r="31" spans="1:12" x14ac:dyDescent="0.25">
      <c r="A31" s="34">
        <v>703331702</v>
      </c>
      <c r="B31" s="34" t="s">
        <v>87</v>
      </c>
      <c r="C31" s="34" t="s">
        <v>61</v>
      </c>
      <c r="D31" s="34" t="s">
        <v>61</v>
      </c>
      <c r="E31" s="34"/>
      <c r="F31" s="34">
        <f>+'[1]Darwin Ruilova'!D4</f>
        <v>108</v>
      </c>
      <c r="G31" s="34">
        <f>+'[1]Darwin Ruilova'!E4</f>
        <v>0</v>
      </c>
      <c r="H31" s="34">
        <f>+'[1]Darwin Ruilova'!F4</f>
        <v>32.999999999997272</v>
      </c>
      <c r="I31" s="34">
        <f>+'[1]Darwin Ruilova'!D5</f>
        <v>44</v>
      </c>
      <c r="J31" s="34">
        <f>+'[1]Darwin Ruilova'!E5</f>
        <v>4</v>
      </c>
      <c r="K31" s="34">
        <f>+'[1]Darwin Ruilova'!F5</f>
        <v>46.999999999929969</v>
      </c>
      <c r="L31" s="35">
        <f>+'[1]Darwin Ruilova'!G5</f>
        <v>60</v>
      </c>
    </row>
    <row r="32" spans="1:12" x14ac:dyDescent="0.25">
      <c r="A32" s="34">
        <v>1717608903</v>
      </c>
      <c r="B32" s="34" t="s">
        <v>88</v>
      </c>
      <c r="C32" s="36" t="s">
        <v>89</v>
      </c>
      <c r="D32" s="36" t="s">
        <v>89</v>
      </c>
      <c r="E32" s="34"/>
      <c r="F32" s="34">
        <f>+'[1]Mario Saenz'!D4</f>
        <v>110</v>
      </c>
      <c r="G32" s="34">
        <f>+'[1]Mario Saenz'!E4</f>
        <v>5</v>
      </c>
      <c r="H32" s="34">
        <f>+'[1]Mario Saenz'!F4</f>
        <v>45</v>
      </c>
      <c r="I32" s="34">
        <f>+'[1]Mario Saenz'!D5</f>
        <v>39</v>
      </c>
      <c r="J32" s="34">
        <f>+'[1]Mario Saenz'!E5</f>
        <v>3</v>
      </c>
      <c r="K32" s="34">
        <f>+'[1]Mario Saenz'!F5</f>
        <v>34.99999999992724</v>
      </c>
      <c r="L32" s="35">
        <f>+'[1]Mario Saenz'!G5</f>
        <v>53.18181818181818</v>
      </c>
    </row>
    <row r="33" spans="1:12" x14ac:dyDescent="0.25">
      <c r="A33" s="34">
        <v>1716068398</v>
      </c>
      <c r="B33" s="34" t="s">
        <v>90</v>
      </c>
      <c r="C33" s="34" t="s">
        <v>64</v>
      </c>
      <c r="D33" s="34" t="s">
        <v>64</v>
      </c>
      <c r="E33" s="34"/>
      <c r="F33" s="34">
        <f>+'[1]David Sánchez'!D4</f>
        <v>138</v>
      </c>
      <c r="G33" s="34">
        <f>+'[1]David Sánchez'!E4</f>
        <v>2</v>
      </c>
      <c r="H33" s="35">
        <f>+'[1]David Sánchez'!F4</f>
        <v>30</v>
      </c>
      <c r="I33" s="34">
        <f>+'[1]David Sánchez'!D5</f>
        <v>28</v>
      </c>
      <c r="J33" s="34">
        <f>+'[1]David Sánchez'!E5</f>
        <v>1</v>
      </c>
      <c r="K33" s="35">
        <f>+'[1]David Sánchez'!F5</f>
        <v>29.999999999918145</v>
      </c>
      <c r="L33" s="35">
        <f>+'[1]David Sánchez'!G5</f>
        <v>38.18181818181818</v>
      </c>
    </row>
    <row r="34" spans="1:12" x14ac:dyDescent="0.25">
      <c r="A34" s="34">
        <v>1714014055</v>
      </c>
      <c r="B34" s="34" t="s">
        <v>91</v>
      </c>
      <c r="C34" s="34" t="s">
        <v>46</v>
      </c>
      <c r="D34" s="34" t="s">
        <v>46</v>
      </c>
      <c r="E34" s="34"/>
      <c r="F34" s="34">
        <f>+'[1]María Toapanta'!D4</f>
        <v>131</v>
      </c>
      <c r="G34" s="34">
        <f>+'[1]María Toapanta'!E4</f>
        <v>5</v>
      </c>
      <c r="H34" s="34">
        <f>+'[1]María Toapanta'!F4</f>
        <v>50.999999999994543</v>
      </c>
      <c r="I34" s="34">
        <f>+'[1]María Toapanta'!D5</f>
        <v>11</v>
      </c>
      <c r="J34" s="34">
        <f>+'[1]María Toapanta'!E5</f>
        <v>4</v>
      </c>
      <c r="K34" s="34">
        <f>+'[1]María Toapanta'!F5</f>
        <v>48.99999999992815</v>
      </c>
      <c r="L34" s="35">
        <f>+'[1]María Toapanta'!G5</f>
        <v>15</v>
      </c>
    </row>
    <row r="35" spans="1:12" x14ac:dyDescent="0.25">
      <c r="A35" s="34">
        <v>1307867034</v>
      </c>
      <c r="B35" s="34" t="s">
        <v>92</v>
      </c>
      <c r="C35" s="34" t="s">
        <v>51</v>
      </c>
      <c r="D35" s="34" t="s">
        <v>64</v>
      </c>
      <c r="E35" s="34"/>
      <c r="F35" s="34">
        <f>+'[1]Lucrecia Torres'!D5</f>
        <v>140</v>
      </c>
      <c r="G35" s="34">
        <f>+'[1]Lucrecia Torres'!E5</f>
        <v>0</v>
      </c>
      <c r="H35" s="35">
        <f>+'[1]Lucrecia Torres'!F5</f>
        <v>14.000000000000909</v>
      </c>
      <c r="I35" s="34">
        <f>+'[1]Lucrecia Torres'!D6</f>
        <v>34</v>
      </c>
      <c r="J35" s="34">
        <f>+'[1]Lucrecia Torres'!E6</f>
        <v>6</v>
      </c>
      <c r="K35" s="35">
        <f>+'[1]Lucrecia Torres'!F6</f>
        <v>25.999999999921783</v>
      </c>
      <c r="L35" s="35">
        <f>+'[1]Lucrecia Torres'!G6</f>
        <v>46.363636363636367</v>
      </c>
    </row>
    <row r="36" spans="1:12" x14ac:dyDescent="0.25">
      <c r="A36" s="34">
        <v>1716936529</v>
      </c>
      <c r="B36" s="34" t="s">
        <v>93</v>
      </c>
      <c r="C36" s="34" t="s">
        <v>83</v>
      </c>
      <c r="D36" s="34" t="s">
        <v>83</v>
      </c>
      <c r="E36" s="34"/>
      <c r="F36" s="34">
        <f>+'[1]Katty Toscano'!D5</f>
        <v>150</v>
      </c>
      <c r="G36" s="34">
        <f>+'[1]Katty Toscano'!E5</f>
        <v>7</v>
      </c>
      <c r="H36" s="34">
        <f>+'[1]Katty Toscano'!F5</f>
        <v>11.000000000003638</v>
      </c>
      <c r="I36" s="34">
        <f>+'[1]Katty Toscano'!D6</f>
        <v>13</v>
      </c>
      <c r="J36" s="34">
        <f>+'[1]Katty Toscano'!E6</f>
        <v>6</v>
      </c>
      <c r="K36" s="34">
        <f>+'[1]Katty Toscano'!F6</f>
        <v>8.99999999990996</v>
      </c>
      <c r="L36" s="35">
        <f>+'[1]Katty Toscano'!G6</f>
        <v>17.727272727272727</v>
      </c>
    </row>
    <row r="37" spans="1:12" x14ac:dyDescent="0.25">
      <c r="A37" s="34">
        <v>1600325292</v>
      </c>
      <c r="B37" s="34" t="s">
        <v>94</v>
      </c>
      <c r="C37" s="34" t="s">
        <v>46</v>
      </c>
      <c r="D37" s="34" t="s">
        <v>46</v>
      </c>
      <c r="E37" s="34"/>
      <c r="F37" s="34">
        <f>+'[1]Natalia Valverde'!D5</f>
        <v>96</v>
      </c>
      <c r="G37" s="34">
        <f>+'[1]Natalia Valverde'!E5</f>
        <v>3</v>
      </c>
      <c r="H37" s="34">
        <f>+'[1]Natalia Valverde'!F5</f>
        <v>51.000000000001364</v>
      </c>
      <c r="I37" s="34">
        <f>+'[1]Natalia Valverde'!D6</f>
        <v>33</v>
      </c>
      <c r="J37" s="34">
        <f>+'[1]Natalia Valverde'!E6</f>
        <v>2</v>
      </c>
      <c r="K37" s="34">
        <f>+'[1]Natalia Valverde'!F6</f>
        <v>48.999999999934971</v>
      </c>
      <c r="L37" s="35">
        <f>+'[1]Natalia Valverde'!G6</f>
        <v>45</v>
      </c>
    </row>
    <row r="38" spans="1:12" x14ac:dyDescent="0.25">
      <c r="A38" s="34">
        <v>1500871478</v>
      </c>
      <c r="B38" s="34" t="s">
        <v>95</v>
      </c>
      <c r="C38" s="36" t="s">
        <v>89</v>
      </c>
      <c r="D38" s="36" t="s">
        <v>89</v>
      </c>
      <c r="E38" s="34"/>
      <c r="F38" s="34">
        <f>+'[1]Alondra Yepez'!D4</f>
        <v>132</v>
      </c>
      <c r="G38" s="34">
        <f>+'[1]Alondra Yepez'!E4</f>
        <v>5</v>
      </c>
      <c r="H38" s="34">
        <f>+'[1]Alondra Yepez'!F4</f>
        <v>15.166666666664241</v>
      </c>
      <c r="I38" s="34">
        <f>+'[1]Alondra Yepez'!D5</f>
        <v>7</v>
      </c>
      <c r="J38" s="34">
        <f>+'[1]Alondra Yepez'!E5</f>
        <v>5</v>
      </c>
      <c r="K38" s="34">
        <f>+'[1]Alondra Yepez'!F5</f>
        <v>24.833333333258452</v>
      </c>
      <c r="L38" s="35">
        <f>+'[1]Alondra Yepez'!G5</f>
        <v>9.545454545454545</v>
      </c>
    </row>
    <row r="39" spans="1:12" x14ac:dyDescent="0.25">
      <c r="A39" s="34">
        <v>704159847</v>
      </c>
      <c r="B39" s="34" t="s">
        <v>96</v>
      </c>
      <c r="C39" s="34" t="s">
        <v>61</v>
      </c>
      <c r="D39" s="34" t="s">
        <v>61</v>
      </c>
      <c r="E39" s="34"/>
      <c r="F39" s="34">
        <f>+'[1]Andrés Zambrano'!D5</f>
        <v>121</v>
      </c>
      <c r="G39" s="34">
        <f>+'[1]Andrés Zambrano'!E5</f>
        <v>6</v>
      </c>
      <c r="H39" s="34">
        <f>+'[1]Andrés Zambrano'!F5</f>
        <v>43.000000000001819</v>
      </c>
      <c r="I39" s="34">
        <f>+'[1]Andrés Zambrano'!D6</f>
        <v>26</v>
      </c>
      <c r="J39" s="34">
        <f>+'[1]Andrés Zambrano'!E6</f>
        <v>7</v>
      </c>
      <c r="K39" s="34">
        <f>+'[1]Andrés Zambrano'!F6</f>
        <v>56.999999999920874</v>
      </c>
      <c r="L39" s="35">
        <f>+'[1]Andrés Zambrano'!G6</f>
        <v>35.454545454545453</v>
      </c>
    </row>
    <row r="40" spans="1:12" x14ac:dyDescent="0.25">
      <c r="A40" s="34">
        <v>1713851416</v>
      </c>
      <c r="B40" s="34" t="s">
        <v>97</v>
      </c>
      <c r="C40" s="34" t="s">
        <v>46</v>
      </c>
      <c r="D40" s="34" t="s">
        <v>46</v>
      </c>
      <c r="E40" s="34"/>
      <c r="F40" s="34">
        <f>+'[1]Ana Zambrano'!D4</f>
        <v>147</v>
      </c>
      <c r="G40" s="34">
        <f>+'[1]Ana Zambrano'!E4</f>
        <v>6</v>
      </c>
      <c r="H40" s="34">
        <f>+'[1]Ana Zambrano'!F4</f>
        <v>50.093750000000909</v>
      </c>
      <c r="I40" s="34">
        <f>+'[1]Ana Zambrano'!D5</f>
        <v>7</v>
      </c>
      <c r="J40" s="34">
        <f>+'[1]Ana Zambrano'!E5</f>
        <v>3</v>
      </c>
      <c r="K40" s="34">
        <f>+'[1]Ana Zambrano'!F5</f>
        <v>49.906249999935426</v>
      </c>
      <c r="L40" s="35">
        <f>+'[1]Ana Zambrano'!G5</f>
        <v>9.545454545454545</v>
      </c>
    </row>
    <row r="41" spans="1:12" x14ac:dyDescent="0.25">
      <c r="A41" s="34">
        <v>704704832</v>
      </c>
      <c r="B41" s="34" t="s">
        <v>98</v>
      </c>
      <c r="C41" s="34" t="s">
        <v>56</v>
      </c>
      <c r="D41" s="34" t="s">
        <v>56</v>
      </c>
      <c r="E41" s="34"/>
      <c r="F41" s="34">
        <f>+'[1]Alejandra Mendieta'!D5</f>
        <v>112</v>
      </c>
      <c r="G41" s="34">
        <f>+'[1]Alejandra Mendieta'!E5</f>
        <v>3</v>
      </c>
      <c r="H41" s="34">
        <f>+'[1]Alejandra Mendieta'!F5</f>
        <v>53.999999999998636</v>
      </c>
      <c r="I41" s="34">
        <f>+'[1]Alejandra Mendieta'!D6</f>
        <v>19</v>
      </c>
      <c r="J41" s="34">
        <f>+'[1]Alejandra Mendieta'!E6</f>
        <v>2</v>
      </c>
      <c r="K41" s="34">
        <f>+'[1]Alejandra Mendieta'!F6</f>
        <v>45.999999999951342</v>
      </c>
      <c r="L41" s="35">
        <f>+'[1]Alejandra Mendieta'!G6</f>
        <v>25.90909090909091</v>
      </c>
    </row>
    <row r="42" spans="1:12" x14ac:dyDescent="0.25">
      <c r="A42" s="34">
        <v>202012209</v>
      </c>
      <c r="B42" s="34" t="s">
        <v>99</v>
      </c>
      <c r="C42" s="34" t="s">
        <v>46</v>
      </c>
      <c r="D42" s="34" t="s">
        <v>46</v>
      </c>
      <c r="E42" s="34"/>
      <c r="F42" s="34">
        <f>+'[1]Dany Arias'!D4</f>
        <v>98</v>
      </c>
      <c r="G42" s="34">
        <f>+'[1]Dany Arias'!E4</f>
        <v>0</v>
      </c>
      <c r="H42" s="34">
        <f>+'[1]Dany Arias'!F4</f>
        <v>23.999999999998636</v>
      </c>
      <c r="I42" s="34">
        <f>+'[1]Dany Arias'!D5</f>
        <v>26</v>
      </c>
      <c r="J42" s="34">
        <f>+'[1]Dany Arias'!E5</f>
        <v>3</v>
      </c>
      <c r="K42" s="35">
        <f>+'[1]Dany Arias'!F5</f>
        <v>33.695999977599058</v>
      </c>
      <c r="L42" s="35">
        <f>+'[1]Dany Arias'!G5</f>
        <v>35.454545454545453</v>
      </c>
    </row>
    <row r="43" spans="1:12" x14ac:dyDescent="0.25">
      <c r="A43" s="34">
        <v>201846219</v>
      </c>
      <c r="B43" s="34" t="s">
        <v>100</v>
      </c>
      <c r="C43" s="34" t="s">
        <v>46</v>
      </c>
      <c r="D43" s="34" t="s">
        <v>46</v>
      </c>
      <c r="E43" s="34"/>
      <c r="F43" s="34">
        <f>+'[1]José García'!D4</f>
        <v>97</v>
      </c>
      <c r="G43" s="34">
        <f>+'[1]José García'!E4</f>
        <v>4</v>
      </c>
      <c r="H43" s="34">
        <f>+'[1]José García'!F4</f>
        <v>0</v>
      </c>
      <c r="I43" s="34">
        <f>+'[1]José García'!D5</f>
        <v>28</v>
      </c>
      <c r="J43" s="34">
        <f>+'[1]José García'!E5</f>
        <v>7</v>
      </c>
      <c r="K43" s="35">
        <f>+'[1]José García'!F5</f>
        <v>57.695999977597694</v>
      </c>
      <c r="L43" s="35">
        <f>+'[1]José García'!G5</f>
        <v>38.18181818181818</v>
      </c>
    </row>
    <row r="44" spans="1:12" x14ac:dyDescent="0.25">
      <c r="A44" s="34">
        <v>1711450377</v>
      </c>
      <c r="B44" s="34" t="s">
        <v>101</v>
      </c>
      <c r="C44" s="34" t="s">
        <v>46</v>
      </c>
      <c r="D44" s="34" t="s">
        <v>46</v>
      </c>
      <c r="E44" s="34"/>
      <c r="F44" s="34">
        <f>+'[1]William Escobar'!D5</f>
        <v>141</v>
      </c>
      <c r="G44" s="34">
        <f>+'[1]William Escobar'!E5</f>
        <v>3</v>
      </c>
      <c r="H44" s="34">
        <f>+'[1]William Escobar'!F5</f>
        <v>53.000000000006366</v>
      </c>
      <c r="I44" s="34">
        <f>+'[1]William Escobar'!D6</f>
        <v>25</v>
      </c>
      <c r="J44" s="34">
        <f>+'[1]William Escobar'!E6</f>
        <v>4</v>
      </c>
      <c r="K44" s="35">
        <f>+'[1]William Escobar'!F6</f>
        <v>6.9999999998981366</v>
      </c>
      <c r="L44" s="35">
        <f>+'[1]William Escobar'!G6</f>
        <v>34.090909090909093</v>
      </c>
    </row>
    <row r="45" spans="1:12" x14ac:dyDescent="0.25">
      <c r="A45" s="34">
        <v>1708887136</v>
      </c>
      <c r="B45" s="34" t="s">
        <v>102</v>
      </c>
      <c r="C45" s="34" t="s">
        <v>46</v>
      </c>
      <c r="D45" s="34" t="s">
        <v>46</v>
      </c>
      <c r="E45" s="34"/>
      <c r="F45" s="34">
        <f>+'[1]Marcelo Maldonado'!D4</f>
        <v>110</v>
      </c>
      <c r="G45" s="34">
        <f>+'[1]Marcelo Maldonado'!E4</f>
        <v>3</v>
      </c>
      <c r="H45" s="34">
        <f>+'[1]Marcelo Maldonado'!F4</f>
        <v>30</v>
      </c>
      <c r="I45" s="34">
        <f>+'[1]Marcelo Maldonado'!D5</f>
        <v>8</v>
      </c>
      <c r="J45" s="34">
        <f>+'[1]Marcelo Maldonado'!E5</f>
        <v>0</v>
      </c>
      <c r="K45" s="35">
        <f>+'[1]Marcelo Maldonado'!F5</f>
        <v>27.695999977604515</v>
      </c>
      <c r="L45" s="35">
        <f>+'[1]Marcelo Maldonado'!G5</f>
        <v>10.909090909090908</v>
      </c>
    </row>
    <row r="46" spans="1:12" x14ac:dyDescent="0.25">
      <c r="A46" s="34">
        <v>1103003107</v>
      </c>
      <c r="B46" s="34" t="s">
        <v>103</v>
      </c>
      <c r="C46" s="34" t="s">
        <v>46</v>
      </c>
      <c r="D46" s="34" t="s">
        <v>46</v>
      </c>
      <c r="E46" s="34"/>
      <c r="F46" s="34">
        <f>+'[1]Humberto Ordoñez'!D4</f>
        <v>116</v>
      </c>
      <c r="G46" s="34">
        <f>+'[1]Humberto Ordoñez'!E4</f>
        <v>0</v>
      </c>
      <c r="H46" s="34">
        <f>+'[1]Humberto Ordoñez'!F4</f>
        <v>15</v>
      </c>
      <c r="I46" s="34">
        <f>+'[1]Humberto Ordoñez'!D5</f>
        <v>8</v>
      </c>
      <c r="J46" s="34">
        <f>+'[1]Humberto Ordoñez'!E5</f>
        <v>3</v>
      </c>
      <c r="K46" s="35">
        <f>+'[1]Humberto Ordoñez'!F5</f>
        <v>42.695999977597694</v>
      </c>
      <c r="L46" s="35">
        <f>+'[1]Humberto Ordoñez'!G5</f>
        <v>10.909090909090908</v>
      </c>
    </row>
    <row r="47" spans="1:12" x14ac:dyDescent="0.25">
      <c r="A47" s="34">
        <v>1716592017</v>
      </c>
      <c r="B47" s="34" t="s">
        <v>104</v>
      </c>
      <c r="C47" s="34" t="s">
        <v>46</v>
      </c>
      <c r="D47" s="34" t="s">
        <v>46</v>
      </c>
      <c r="E47" s="34"/>
      <c r="F47" s="34">
        <f>+'[1]Santiago Saltos'!D4</f>
        <v>82</v>
      </c>
      <c r="G47" s="34">
        <f>+'[1]Santiago Saltos'!E4</f>
        <v>4</v>
      </c>
      <c r="H47" s="34">
        <f>+'[1]Santiago Saltos'!F4</f>
        <v>0</v>
      </c>
      <c r="I47" s="34">
        <f>+'[1]Santiago Saltos'!D5</f>
        <v>38</v>
      </c>
      <c r="J47" s="34">
        <f>+'[1]Santiago Saltos'!E5</f>
        <v>3</v>
      </c>
      <c r="K47" s="35">
        <f>+'[1]Santiago Saltos'!F5</f>
        <v>54.239999985920804</v>
      </c>
      <c r="L47" s="35">
        <f>+'[1]Santiago Saltos'!G5</f>
        <v>51.81818181818182</v>
      </c>
    </row>
    <row r="48" spans="1:12" x14ac:dyDescent="0.25">
      <c r="A48" s="34">
        <v>503063000</v>
      </c>
      <c r="B48" s="34" t="s">
        <v>105</v>
      </c>
      <c r="C48" s="34" t="s">
        <v>46</v>
      </c>
      <c r="D48" s="34" t="s">
        <v>46</v>
      </c>
      <c r="E48" s="34"/>
      <c r="F48" s="34">
        <f>+'[1]Amelia Ullco'!D4</f>
        <v>101</v>
      </c>
      <c r="G48" s="34">
        <f>+'[1]Amelia Ullco'!E4</f>
        <v>7</v>
      </c>
      <c r="H48" s="35">
        <f>+'[1]Amelia Ullco'!F4</f>
        <v>0.99999999999909051</v>
      </c>
      <c r="I48" s="34">
        <f>+'[1]Amelia Ullco'!D5</f>
        <v>23</v>
      </c>
      <c r="J48" s="34">
        <f>+'[1]Amelia Ullco'!E5</f>
        <v>4</v>
      </c>
      <c r="K48" s="35">
        <f>+'[1]Amelia Ullco'!F5</f>
        <v>58.999999999925876</v>
      </c>
      <c r="L48" s="35">
        <f>+'[1]Amelia Ullco'!G5</f>
        <v>31.363636363636363</v>
      </c>
    </row>
    <row r="49" spans="1:12" x14ac:dyDescent="0.25">
      <c r="A49" s="34">
        <v>1712593225</v>
      </c>
      <c r="B49" s="34" t="s">
        <v>106</v>
      </c>
      <c r="C49" s="34" t="s">
        <v>66</v>
      </c>
      <c r="D49" s="34" t="s">
        <v>66</v>
      </c>
      <c r="E49" s="34"/>
      <c r="F49" s="34">
        <f>+'[1]Gabriela Díaz'!D4</f>
        <v>43</v>
      </c>
      <c r="G49" s="34">
        <f>+'[1]Gabriela Díaz'!E4</f>
        <v>0</v>
      </c>
      <c r="H49" s="34">
        <f>+'[1]Gabriela Díaz'!F4</f>
        <v>11.999999999999318</v>
      </c>
      <c r="I49" s="34">
        <f>+'[1]Gabriela Díaz'!D5</f>
        <v>37</v>
      </c>
      <c r="J49" s="34">
        <f>+'[1]Gabriela Díaz'!E5</f>
        <v>3</v>
      </c>
      <c r="K49" s="34">
        <f>+'[1]Gabriela Díaz'!F5</f>
        <v>47.999999999946112</v>
      </c>
      <c r="L49" s="35">
        <f>+'[1]Gabriela Díaz'!G5</f>
        <v>50.454545454545453</v>
      </c>
    </row>
    <row r="50" spans="1:12" x14ac:dyDescent="0.25">
      <c r="A50" s="34">
        <v>1725805657</v>
      </c>
      <c r="B50" s="34" t="s">
        <v>107</v>
      </c>
      <c r="C50" s="34" t="s">
        <v>59</v>
      </c>
      <c r="D50" s="34" t="s">
        <v>59</v>
      </c>
      <c r="E50" s="34"/>
      <c r="F50" s="34">
        <f>+'[1]Christian Herrera'!D4</f>
        <v>58</v>
      </c>
      <c r="G50" s="34">
        <f>+'[1]Christian Herrera'!E4</f>
        <v>0</v>
      </c>
      <c r="H50" s="35">
        <f>+'[1]Christian Herrera'!F4</f>
        <v>52.000000000000455</v>
      </c>
      <c r="I50" s="34">
        <f>+'[1]Christian Herrera'!D5</f>
        <v>25</v>
      </c>
      <c r="J50" s="34">
        <f>+'[1]Christian Herrera'!E5</f>
        <v>3</v>
      </c>
      <c r="K50" s="35">
        <f>+'[1]Christian Herrera'!F5</f>
        <v>7.9999999999245119</v>
      </c>
      <c r="L50" s="35">
        <f>+'[1]Christian Herrera'!G5</f>
        <v>34.090909090909093</v>
      </c>
    </row>
    <row r="51" spans="1:12" x14ac:dyDescent="0.25">
      <c r="A51" s="37">
        <v>1721921789</v>
      </c>
      <c r="B51" s="37" t="s">
        <v>108</v>
      </c>
      <c r="C51" s="37" t="s">
        <v>46</v>
      </c>
      <c r="D51" s="37" t="s">
        <v>46</v>
      </c>
      <c r="E51" s="37"/>
      <c r="F51" s="34">
        <f>+'[1]Victor Caisapanta'!D6</f>
        <v>0</v>
      </c>
      <c r="G51" s="34">
        <f>+'[1]Victor Caisapanta'!E4</f>
        <v>4</v>
      </c>
      <c r="H51" s="34">
        <f>+'[1]Victor Caisapanta'!F4</f>
        <v>59.000000000000909</v>
      </c>
      <c r="I51" s="34">
        <f>+'[1]Victor Caisapanta'!D5</f>
        <v>6</v>
      </c>
      <c r="J51" s="34">
        <f>+'[1]Victor Caisapanta'!E5</f>
        <v>1</v>
      </c>
      <c r="K51" s="34">
        <f>+'[1]Victor Caisapanta'!F5</f>
        <v>40.99999998784142</v>
      </c>
      <c r="L51" s="35">
        <f>+'[1]Victor Caisapanta'!G5</f>
        <v>8.1818181818181817</v>
      </c>
    </row>
    <row r="52" spans="1:12" x14ac:dyDescent="0.25">
      <c r="A52" s="37">
        <v>1707719892</v>
      </c>
      <c r="B52" s="37" t="s">
        <v>109</v>
      </c>
      <c r="C52" s="37" t="s">
        <v>46</v>
      </c>
      <c r="D52" s="37" t="s">
        <v>46</v>
      </c>
      <c r="E52" s="37"/>
      <c r="F52" s="34">
        <f>+'[1]Pedro Díaz'!D5</f>
        <v>12</v>
      </c>
      <c r="G52" s="34">
        <f>+'[1]Pedro Díaz'!E4</f>
        <v>3</v>
      </c>
      <c r="H52" s="34">
        <f>+'[1]Pedro Díaz'!F4</f>
        <v>30.999999999999091</v>
      </c>
      <c r="I52" s="34">
        <f>+'[1]Pedro Díaz'!D5</f>
        <v>12</v>
      </c>
      <c r="J52" s="34">
        <f>+'[1]Pedro Díaz'!E5</f>
        <v>0</v>
      </c>
      <c r="K52" s="34">
        <f>+'[1]Pedro Díaz'!F5</f>
        <v>28.99999999994634</v>
      </c>
      <c r="L52" s="35">
        <f>+'[1]Pedro Díaz'!G5</f>
        <v>16.363636363636363</v>
      </c>
    </row>
    <row r="53" spans="1:12" x14ac:dyDescent="0.25">
      <c r="A53" s="37">
        <v>1711449627</v>
      </c>
      <c r="B53" s="37" t="s">
        <v>110</v>
      </c>
      <c r="C53" s="37" t="s">
        <v>61</v>
      </c>
      <c r="D53" s="37" t="s">
        <v>61</v>
      </c>
      <c r="E53" s="37"/>
      <c r="F53" s="34">
        <f>+'[1]Luis Santiana'!D5</f>
        <v>31</v>
      </c>
      <c r="G53" s="34">
        <f>+'[1]Luis Santiana'!E4</f>
        <v>4</v>
      </c>
      <c r="H53" s="34">
        <f>+'[1]Luis Santiana'!F4</f>
        <v>54.999999999999432</v>
      </c>
      <c r="I53" s="34">
        <f>+'[1]Luis Santiana'!D5</f>
        <v>31</v>
      </c>
      <c r="J53" s="34">
        <f>+'[1]Luis Santiana'!E5</f>
        <v>1</v>
      </c>
      <c r="K53" s="34">
        <f>+'[1]Luis Santiana'!F5</f>
        <v>44.999999999947136</v>
      </c>
      <c r="L53" s="35">
        <f>+'[1]Luis Santiana'!G5</f>
        <v>42.272727272727273</v>
      </c>
    </row>
    <row r="54" spans="1:12" x14ac:dyDescent="0.25">
      <c r="A54" s="37">
        <v>1727287219</v>
      </c>
      <c r="B54" s="37" t="s">
        <v>111</v>
      </c>
      <c r="C54" s="37" t="s">
        <v>83</v>
      </c>
      <c r="D54" s="37" t="s">
        <v>83</v>
      </c>
      <c r="E54" s="37"/>
      <c r="F54" s="34">
        <f>+'[1]Byron Díaz'!D5</f>
        <v>26</v>
      </c>
      <c r="G54" s="34">
        <f>+'[1]Byron Díaz'!E4</f>
        <v>4</v>
      </c>
      <c r="H54" s="34">
        <f>+'[1]Byron Díaz'!F4</f>
        <v>11.999999999999318</v>
      </c>
      <c r="I54" s="34">
        <f>+'[1]Byron Díaz'!D5</f>
        <v>26</v>
      </c>
      <c r="J54" s="34">
        <f>+'[1]Byron Díaz'!E5</f>
        <v>3</v>
      </c>
      <c r="K54" s="34">
        <f>+'[1]Byron Díaz'!F5</f>
        <v>47.999999999949523</v>
      </c>
      <c r="L54" s="35">
        <f>+'[1]Byron Díaz'!G5</f>
        <v>35.454545454545453</v>
      </c>
    </row>
    <row r="55" spans="1:12" x14ac:dyDescent="0.25">
      <c r="A55" s="37">
        <v>1715425391</v>
      </c>
      <c r="B55" s="37" t="s">
        <v>112</v>
      </c>
      <c r="C55" s="37" t="s">
        <v>83</v>
      </c>
      <c r="D55" s="37" t="s">
        <v>83</v>
      </c>
      <c r="E55" s="37"/>
      <c r="F55" s="34">
        <f>+'[1]Diana Pérez'!D6</f>
        <v>17</v>
      </c>
      <c r="G55" s="34">
        <f>+'[1]Diana Pérez'!E5</f>
        <v>7</v>
      </c>
      <c r="H55" s="34">
        <f>+'[1]Diana Pérez'!F5</f>
        <v>40.250000000000909</v>
      </c>
      <c r="I55" s="34">
        <f>+'[1]Diana Pérez'!D6</f>
        <v>17</v>
      </c>
      <c r="J55" s="34">
        <f>+'[1]Diana Pérez'!E6</f>
        <v>6</v>
      </c>
      <c r="K55" s="34">
        <f>+'[1]Diana Pérez'!F6</f>
        <v>59.749999999908141</v>
      </c>
      <c r="L55" s="35">
        <f>+'[1]Diana Pérez'!G6</f>
        <v>23.181818181818183</v>
      </c>
    </row>
    <row r="56" spans="1:12" x14ac:dyDescent="0.25">
      <c r="A56" s="37">
        <v>1723583363</v>
      </c>
      <c r="B56" s="37" t="s">
        <v>113</v>
      </c>
      <c r="C56" s="37" t="s">
        <v>56</v>
      </c>
      <c r="D56" s="37" t="s">
        <v>56</v>
      </c>
      <c r="E56" s="37"/>
      <c r="F56" s="34">
        <f>'[1]Henry Moreira.'!D5</f>
        <v>18</v>
      </c>
      <c r="G56" s="34">
        <f>'[1]Henry Moreira.'!E4</f>
        <v>4</v>
      </c>
      <c r="H56" s="34">
        <f>'[1]Henry Moreira.'!F4</f>
        <v>49.999999999998863</v>
      </c>
      <c r="I56" s="34">
        <f>'[1]Henry Moreira.'!D5</f>
        <v>18</v>
      </c>
      <c r="J56" s="34">
        <f>'[1]Henry Moreira.'!E5</f>
        <v>5</v>
      </c>
      <c r="K56" s="34">
        <f>'[1]Henry Moreira.'!F5</f>
        <v>49.999999999954525</v>
      </c>
      <c r="L56" s="35">
        <f>'[1]Henry Moreira.'!G5</f>
        <v>24.545454545454547</v>
      </c>
    </row>
    <row r="57" spans="1:12" x14ac:dyDescent="0.25">
      <c r="A57" s="37">
        <v>401646922</v>
      </c>
      <c r="B57" s="37" t="s">
        <v>114</v>
      </c>
      <c r="C57" s="37" t="s">
        <v>69</v>
      </c>
      <c r="D57" s="37" t="s">
        <v>69</v>
      </c>
      <c r="E57" s="37"/>
      <c r="F57" s="34">
        <f>+'[1]Evelyn Eche'!D5</f>
        <v>28</v>
      </c>
      <c r="G57" s="34">
        <f>+'[1]Evelyn Eche'!E4</f>
        <v>6</v>
      </c>
      <c r="H57" s="34">
        <f>+'[1]Evelyn Eche'!F4</f>
        <v>37.999999999999545</v>
      </c>
      <c r="I57" s="34">
        <f>+'[1]Evelyn Eche'!D5</f>
        <v>28</v>
      </c>
      <c r="J57" s="34">
        <f>+'[1]Evelyn Eche'!E5</f>
        <v>0</v>
      </c>
      <c r="K57" s="34">
        <f>+'[1]Evelyn Eche'!F5</f>
        <v>1.9999999999572537</v>
      </c>
      <c r="L57" s="35">
        <f>+'[1]Evelyn Eche'!G5</f>
        <v>38.18181818181818</v>
      </c>
    </row>
    <row r="58" spans="1:12" x14ac:dyDescent="0.25">
      <c r="A58" s="37">
        <v>1716086648</v>
      </c>
      <c r="B58" s="37" t="s">
        <v>115</v>
      </c>
      <c r="C58" s="38" t="s">
        <v>69</v>
      </c>
      <c r="D58" s="38" t="s">
        <v>69</v>
      </c>
      <c r="E58" s="38"/>
      <c r="F58" s="34">
        <f>+'[1]Paulina Román'!D5</f>
        <v>22</v>
      </c>
      <c r="G58" s="34">
        <f>+'[1]Paulina Román'!E4</f>
        <v>2</v>
      </c>
      <c r="H58" s="34">
        <f>+'[1]Paulina Román'!F4</f>
        <v>3.9999999999997726</v>
      </c>
      <c r="I58" s="34">
        <f>+'[1]Paulina Román'!D5</f>
        <v>22</v>
      </c>
      <c r="J58" s="34">
        <f>+'[1]Paulina Román'!E5</f>
        <v>1</v>
      </c>
      <c r="K58" s="34">
        <f>+'[1]Paulina Román'!F5</f>
        <v>55.999999999966121</v>
      </c>
      <c r="L58" s="35">
        <f>+'[1]Paulina Román'!G5</f>
        <v>30</v>
      </c>
    </row>
    <row r="59" spans="1:12" x14ac:dyDescent="0.25">
      <c r="A59" s="37">
        <v>1722878186</v>
      </c>
      <c r="B59" s="37" t="s">
        <v>116</v>
      </c>
      <c r="C59" s="38" t="s">
        <v>46</v>
      </c>
      <c r="D59" s="38" t="s">
        <v>46</v>
      </c>
      <c r="E59" s="38"/>
      <c r="F59" s="34">
        <f>+'[1]Walter Morante'!D5</f>
        <v>12</v>
      </c>
      <c r="G59" s="34">
        <f>+'[1]Walter Morante'!E4</f>
        <v>7</v>
      </c>
      <c r="H59" s="34">
        <f>+'[1]Walter Morante'!F4</f>
        <v>0</v>
      </c>
      <c r="I59" s="34">
        <f>+'[1]Walter Morante'!D5</f>
        <v>12</v>
      </c>
      <c r="J59" s="34">
        <f>+'[1]Walter Morante'!E5</f>
        <v>4</v>
      </c>
      <c r="K59" s="34">
        <f>+'[1]Walter Morante'!F5</f>
        <v>59.999999999965894</v>
      </c>
      <c r="L59" s="35">
        <f>+'[1]Walter Morante'!G5</f>
        <v>16.363636363636363</v>
      </c>
    </row>
    <row r="60" spans="1:12" x14ac:dyDescent="0.25">
      <c r="A60" s="37">
        <v>1714751615</v>
      </c>
      <c r="B60" s="37" t="s">
        <v>117</v>
      </c>
      <c r="C60" s="38" t="s">
        <v>118</v>
      </c>
      <c r="D60" s="38" t="s">
        <v>64</v>
      </c>
      <c r="E60" s="38"/>
      <c r="F60" s="34">
        <f>+'[1]Diego Sáenz'!D5</f>
        <v>28</v>
      </c>
      <c r="G60" s="34">
        <f>+'[1]Diego Sáenz'!E4</f>
        <v>2</v>
      </c>
      <c r="H60" s="34">
        <f>+'[1]Diego Sáenz'!F4</f>
        <v>56.000000000000227</v>
      </c>
      <c r="I60" s="34">
        <f>+'[1]Diego Sáenz'!D5</f>
        <v>28</v>
      </c>
      <c r="J60" s="34">
        <f>+'[1]Diego Sáenz'!E5</f>
        <v>1</v>
      </c>
      <c r="K60" s="34">
        <f>+'[1]Diego Sáenz'!F5</f>
        <v>3.9999999999656666</v>
      </c>
      <c r="L60" s="35">
        <f>+'[1]Diego Sáenz'!G5</f>
        <v>38.18181818181818</v>
      </c>
    </row>
    <row r="61" spans="1:12" x14ac:dyDescent="0.25">
      <c r="A61" s="37">
        <v>1721130639</v>
      </c>
      <c r="B61" s="37" t="s">
        <v>119</v>
      </c>
      <c r="C61" s="39" t="s">
        <v>71</v>
      </c>
      <c r="D61" s="39" t="s">
        <v>71</v>
      </c>
      <c r="E61" s="39"/>
      <c r="F61" s="34">
        <f>+'[1]Wiliam Salazar'!D5</f>
        <v>13</v>
      </c>
      <c r="G61" s="34">
        <f>+'[1]Wiliam Salazar'!E4</f>
        <v>3</v>
      </c>
      <c r="H61" s="34">
        <f>+'[1]Wiliam Salazar'!F4</f>
        <v>41.000000000000227</v>
      </c>
      <c r="I61" s="34">
        <f>+'[1]Wiliam Salazar'!D5</f>
        <v>13</v>
      </c>
      <c r="J61" s="34">
        <f>+'[1]Wiliam Salazar'!E5</f>
        <v>0</v>
      </c>
      <c r="K61" s="34">
        <f>+'[1]Wiliam Salazar'!F5</f>
        <v>18.999999999974193</v>
      </c>
      <c r="L61" s="35">
        <f>+'[1]Wiliam Salazar'!G5</f>
        <v>17.727272727272727</v>
      </c>
    </row>
    <row r="62" spans="1:12" x14ac:dyDescent="0.25">
      <c r="A62" s="37">
        <v>1716135379</v>
      </c>
      <c r="B62" s="37" t="s">
        <v>120</v>
      </c>
      <c r="C62" s="39" t="s">
        <v>59</v>
      </c>
      <c r="D62" s="39" t="s">
        <v>59</v>
      </c>
      <c r="E62" s="39"/>
      <c r="F62" s="34">
        <f>+'[1]Natalia Jiménez'!D5</f>
        <v>13</v>
      </c>
      <c r="G62" s="34">
        <f>+'[1]Natalia Jiménez'!E4</f>
        <v>4</v>
      </c>
      <c r="H62" s="34">
        <f>+'[1]Natalia Jiménez'!F4</f>
        <v>32.999999999999829</v>
      </c>
      <c r="I62" s="34">
        <f>+'[1]Natalia Jiménez'!D5</f>
        <v>13</v>
      </c>
      <c r="J62" s="34">
        <f>+'[1]Natalia Jiménez'!E5</f>
        <v>7</v>
      </c>
      <c r="K62" s="34">
        <f>+'[1]Natalia Jiménez'!F5</f>
        <v>26.999999999974591</v>
      </c>
      <c r="L62" s="35">
        <f>+'[1]Natalia Jiménez'!G5</f>
        <v>17.727272727272727</v>
      </c>
    </row>
    <row r="63" spans="1:12" x14ac:dyDescent="0.25">
      <c r="A63" s="37">
        <v>1713060265</v>
      </c>
      <c r="B63" s="37" t="s">
        <v>121</v>
      </c>
      <c r="C63" s="39" t="s">
        <v>69</v>
      </c>
      <c r="D63" s="39" t="s">
        <v>69</v>
      </c>
      <c r="E63" s="39"/>
      <c r="F63" s="34">
        <f>+'[1]César Ramos'!D5</f>
        <v>18</v>
      </c>
      <c r="G63" s="34">
        <f>+'[1]César Ramos'!E4</f>
        <v>1</v>
      </c>
      <c r="H63" s="34">
        <f>+'[1]César Ramos'!F4</f>
        <v>9.9999999999998579</v>
      </c>
      <c r="I63" s="34">
        <f>+'[1]César Ramos'!D5</f>
        <v>18</v>
      </c>
      <c r="J63" s="34">
        <f>+'[1]César Ramos'!E5</f>
        <v>5</v>
      </c>
      <c r="K63" s="34">
        <f>+'[1]César Ramos'!F5</f>
        <v>29.999999999977831</v>
      </c>
      <c r="L63" s="35">
        <f>+'[1]César Ramos'!G5</f>
        <v>24.545454545454547</v>
      </c>
    </row>
    <row r="64" spans="1:12" x14ac:dyDescent="0.25">
      <c r="A64" s="37">
        <v>1103341077</v>
      </c>
      <c r="B64" s="37" t="s">
        <v>122</v>
      </c>
      <c r="C64" s="39" t="s">
        <v>56</v>
      </c>
      <c r="D64" s="39" t="s">
        <v>56</v>
      </c>
      <c r="E64" s="39"/>
      <c r="F64" s="34">
        <f>+'[1]Rocío Granda'!D5</f>
        <v>10</v>
      </c>
      <c r="G64" s="34">
        <f>+'[1]Rocío Granda'!E4</f>
        <v>6</v>
      </c>
      <c r="H64" s="34">
        <f>+'[1]Rocío Granda'!F4</f>
        <v>44.000000000000057</v>
      </c>
      <c r="I64" s="34">
        <f>+'[1]Rocío Granda'!D5</f>
        <v>10</v>
      </c>
      <c r="J64" s="34">
        <f>+'[1]Rocío Granda'!E5</f>
        <v>2</v>
      </c>
      <c r="K64" s="34">
        <f>+'[1]Rocío Granda'!F5</f>
        <v>35.999999999981753</v>
      </c>
      <c r="L64" s="35">
        <f>+'[1]Rocío Granda'!G5</f>
        <v>13.636363636363637</v>
      </c>
    </row>
    <row r="65" spans="1:12" x14ac:dyDescent="0.25">
      <c r="A65" s="37">
        <v>1719235432</v>
      </c>
      <c r="B65" s="37" t="s">
        <v>123</v>
      </c>
      <c r="C65" s="39" t="s">
        <v>71</v>
      </c>
      <c r="D65" s="39" t="s">
        <v>71</v>
      </c>
      <c r="E65" s="39"/>
      <c r="F65" s="34">
        <f>+'[1]Norma Arcos'!D5</f>
        <v>4</v>
      </c>
      <c r="G65" s="34">
        <f>+'[1]Norma Arcos'!E4</f>
        <v>2</v>
      </c>
      <c r="H65" s="34">
        <f>+'[1]Norma Arcos'!F4</f>
        <v>0</v>
      </c>
      <c r="I65" s="34">
        <f>+'[1]Norma Arcos'!D5</f>
        <v>4</v>
      </c>
      <c r="J65" s="34">
        <f>+'[1]Norma Arcos'!E5</f>
        <v>0</v>
      </c>
      <c r="K65" s="34">
        <f>+'[1]Norma Arcos'!F5</f>
        <v>39.999999999984084</v>
      </c>
      <c r="L65" s="35">
        <f>+'[1]Norma Arcos'!G5</f>
        <v>5.4545454545454541</v>
      </c>
    </row>
    <row r="66" spans="1:12" x14ac:dyDescent="0.25">
      <c r="A66" s="37">
        <v>1712928272</v>
      </c>
      <c r="B66" s="37" t="s">
        <v>124</v>
      </c>
      <c r="C66" s="39" t="s">
        <v>71</v>
      </c>
      <c r="D66" s="39" t="s">
        <v>71</v>
      </c>
      <c r="E66" s="39"/>
      <c r="F66" s="34">
        <f>+'[1]Javier Chillogallo'!D5</f>
        <v>5</v>
      </c>
      <c r="G66" s="34">
        <f>+'[1]Javier Chillogallo'!E4</f>
        <v>0</v>
      </c>
      <c r="H66" s="34">
        <f>+'[1]Javier Chillogallo'!F4</f>
        <v>1.9999999999998863</v>
      </c>
      <c r="I66" s="34">
        <f>+'[1]Javier Chillogallo'!D5</f>
        <v>5</v>
      </c>
      <c r="J66" s="34">
        <f>+'[1]Javier Chillogallo'!E5</f>
        <v>3</v>
      </c>
      <c r="K66" s="34">
        <f>+'[1]Javier Chillogallo'!F5</f>
        <v>57.999999999984766</v>
      </c>
      <c r="L66" s="35">
        <f>+'[1]Javier Chillogallo'!G5</f>
        <v>6.8181818181818183</v>
      </c>
    </row>
    <row r="67" spans="1:12" x14ac:dyDescent="0.25">
      <c r="A67" s="37">
        <v>1708029978</v>
      </c>
      <c r="B67" s="37" t="s">
        <v>125</v>
      </c>
      <c r="C67" s="38" t="s">
        <v>51</v>
      </c>
      <c r="D67" s="38" t="s">
        <v>51</v>
      </c>
      <c r="E67" s="38"/>
      <c r="F67" s="34">
        <f>+'[1]Guillermo Salazar'!D5</f>
        <v>7</v>
      </c>
      <c r="G67" s="41">
        <f>+'[1]Guillermo Salazar'!E4</f>
        <v>0</v>
      </c>
      <c r="H67" s="34">
        <f>+'[1]Guillermo Salazar'!F4</f>
        <v>0</v>
      </c>
      <c r="I67" s="34">
        <f>+'[1]Guillermo Salazar'!D5</f>
        <v>7</v>
      </c>
      <c r="J67" s="34">
        <f>+'[1]Guillermo Salazar'!E5</f>
        <v>2</v>
      </c>
      <c r="K67" s="34">
        <f>+'[1]Guillermo Salazar'!F5</f>
        <v>39.999999999993463</v>
      </c>
      <c r="L67" s="35">
        <f>+'[1]Guillermo Salazar'!G5</f>
        <v>9.545454545454545</v>
      </c>
    </row>
    <row r="68" spans="1:12" x14ac:dyDescent="0.25">
      <c r="A68" s="37">
        <v>704487636</v>
      </c>
      <c r="B68" s="37" t="s">
        <v>126</v>
      </c>
      <c r="C68" s="38" t="s">
        <v>51</v>
      </c>
      <c r="D68" s="38" t="s">
        <v>51</v>
      </c>
      <c r="E68" s="38"/>
      <c r="F68" s="34">
        <f>+'[1]Liliana Marquez'!D5</f>
        <v>3</v>
      </c>
      <c r="G68" s="34">
        <f>+'[1]Liliana Marquez'!E4</f>
        <v>0</v>
      </c>
      <c r="H68" s="34">
        <f>+'[1]Liliana Marquez'!F4</f>
        <v>0</v>
      </c>
      <c r="I68" s="34">
        <f>+'[1]Liliana Marquez'!D5</f>
        <v>3</v>
      </c>
      <c r="J68" s="34">
        <f>+'[1]Liliana Marquez'!E5</f>
        <v>2</v>
      </c>
      <c r="K68" s="34">
        <f>+'[1]Liliana Marquez'!F5</f>
        <v>39.999999999993463</v>
      </c>
      <c r="L68" s="35">
        <f>+'[1]Liliana Marquez'!G5</f>
        <v>4.0909090909090908</v>
      </c>
    </row>
    <row r="69" spans="1:12" x14ac:dyDescent="0.25">
      <c r="A69" s="37">
        <v>802123463</v>
      </c>
      <c r="B69" s="37" t="s">
        <v>127</v>
      </c>
      <c r="C69" s="38" t="s">
        <v>66</v>
      </c>
      <c r="D69" s="38" t="s">
        <v>51</v>
      </c>
      <c r="E69" s="38"/>
      <c r="F69" s="34">
        <f>+'[1]Lady Cedeño'!D5</f>
        <v>1</v>
      </c>
      <c r="G69" s="34">
        <f>+'[1]Lady Cedeño'!E4</f>
        <v>0</v>
      </c>
      <c r="H69" s="34">
        <f>+'[1]Lady Cedeño'!F4</f>
        <v>0</v>
      </c>
      <c r="I69" s="34">
        <f>+'[1]Lady Cedeño'!D5</f>
        <v>1</v>
      </c>
      <c r="J69" s="34">
        <f>+'[1]Lady Cedeño'!E5</f>
        <v>3</v>
      </c>
      <c r="K69" s="34">
        <f>+'[1]Lady Cedeño'!F5</f>
        <v>59.999999999994884</v>
      </c>
      <c r="L69" s="35">
        <f>+'[1]Lady Cedeño'!G5</f>
        <v>1.3636363636363635</v>
      </c>
    </row>
    <row r="70" spans="1:12" x14ac:dyDescent="0.25">
      <c r="A70" s="42">
        <v>1724607625</v>
      </c>
      <c r="B70" s="42" t="s">
        <v>128</v>
      </c>
      <c r="C70" s="43" t="s">
        <v>51</v>
      </c>
      <c r="D70" s="43" t="s">
        <v>129</v>
      </c>
      <c r="E70" s="43"/>
      <c r="F70" s="44">
        <f>+'[1]Lizeth Piedra'!D5</f>
        <v>4</v>
      </c>
      <c r="G70" s="44">
        <f>+'[1]Lizeth Piedra'!E4</f>
        <v>0</v>
      </c>
      <c r="H70" s="44">
        <f>+'[1]Lizeth Piedra'!F4</f>
        <v>0</v>
      </c>
      <c r="I70" s="44">
        <f>+'[1]Lizeth Piedra'!D5</f>
        <v>4</v>
      </c>
      <c r="J70" s="44">
        <f>+'[1]Lizeth Piedra'!E5</f>
        <v>3</v>
      </c>
      <c r="K70" s="44">
        <f>+'[1]Lizeth Piedra'!F5</f>
        <v>59.999999999994884</v>
      </c>
      <c r="L70" s="45">
        <f>+'[1]Lizeth Piedra'!G5</f>
        <v>5.4545454545454541</v>
      </c>
    </row>
    <row r="71" spans="1:12" x14ac:dyDescent="0.25">
      <c r="A71" s="37">
        <v>703297945</v>
      </c>
      <c r="B71" s="37" t="s">
        <v>130</v>
      </c>
      <c r="C71" s="38" t="s">
        <v>61</v>
      </c>
      <c r="D71" s="38" t="s">
        <v>61</v>
      </c>
      <c r="E71" s="38"/>
      <c r="F71" s="34">
        <f>+'[1]José Amaya'!D5</f>
        <v>2</v>
      </c>
      <c r="G71" s="34">
        <f>+'[1]José Amaya'!E4</f>
        <v>4</v>
      </c>
      <c r="H71" s="34">
        <f>+'[1]José Amaya'!F4</f>
        <v>0</v>
      </c>
      <c r="I71" s="34">
        <f>+'[1]José Amaya'!D5</f>
        <v>2</v>
      </c>
      <c r="J71" s="34">
        <f>+'[1]José Amaya'!E5</f>
        <v>7</v>
      </c>
      <c r="K71" s="34">
        <f>+'[1]José Amaya'!F5</f>
        <v>59.999999999994884</v>
      </c>
      <c r="L71" s="35">
        <f>+'[1]José Amaya'!G5</f>
        <v>2.7272727272727271</v>
      </c>
    </row>
    <row r="72" spans="1:12" x14ac:dyDescent="0.25">
      <c r="A72" s="42">
        <v>1711248417</v>
      </c>
      <c r="B72" s="42" t="s">
        <v>131</v>
      </c>
      <c r="C72" s="43" t="s">
        <v>132</v>
      </c>
      <c r="D72" s="43" t="s">
        <v>51</v>
      </c>
      <c r="E72" s="43"/>
      <c r="F72" s="44">
        <f>+'[1]José Luis López'!D5</f>
        <v>3</v>
      </c>
      <c r="G72" s="44">
        <f>+'[1]José Luis López'!E4</f>
        <v>0</v>
      </c>
      <c r="H72" s="44">
        <f>+'[1]José Luis López'!F4</f>
        <v>0</v>
      </c>
      <c r="I72" s="44">
        <f>+'[1]José Luis López'!D5</f>
        <v>3</v>
      </c>
      <c r="J72" s="44">
        <f>+'[1]José Luis López'!E5</f>
        <v>5</v>
      </c>
      <c r="K72" s="44">
        <f>+'[1]José Luis López'!F5</f>
        <v>19.999999999996732</v>
      </c>
      <c r="L72" s="45">
        <f>+'[1]José Luis López'!G5</f>
        <v>4.0909090909090908</v>
      </c>
    </row>
    <row r="73" spans="1:12" x14ac:dyDescent="0.25">
      <c r="A73" s="37">
        <v>1721217154</v>
      </c>
      <c r="B73" s="37" t="s">
        <v>133</v>
      </c>
      <c r="C73" s="38" t="s">
        <v>56</v>
      </c>
      <c r="D73" s="38" t="s">
        <v>51</v>
      </c>
      <c r="E73" s="38"/>
      <c r="F73" s="34">
        <f>+'[1]Silvia Rodríguez'!D5</f>
        <v>3</v>
      </c>
      <c r="G73" s="34">
        <f>+'[1]Silvia Rodríguez'!E4</f>
        <v>0</v>
      </c>
      <c r="H73" s="34">
        <f>+'[1]Silvia Rodríguez'!F4</f>
        <v>0</v>
      </c>
      <c r="I73" s="34">
        <f>+'[1]Silvia Rodríguez'!D5</f>
        <v>3</v>
      </c>
      <c r="J73" s="34">
        <f>+'[1]Silvia Rodríguez'!E5</f>
        <v>5</v>
      </c>
      <c r="K73" s="34">
        <f>+'[1]Silvia Rodríguez'!F5</f>
        <v>19.999999999996732</v>
      </c>
      <c r="L73" s="35">
        <f>+'[1]Silvia Rodríguez'!G5</f>
        <v>4.0909090909090908</v>
      </c>
    </row>
    <row r="74" spans="1:12" x14ac:dyDescent="0.25">
      <c r="A74" s="42">
        <v>1719356634</v>
      </c>
      <c r="B74" s="42" t="s">
        <v>134</v>
      </c>
      <c r="C74" s="43" t="s">
        <v>135</v>
      </c>
      <c r="D74" s="43" t="s">
        <v>51</v>
      </c>
      <c r="E74" s="43"/>
      <c r="F74" s="44">
        <f>+'[1]Diana Salguero'!D5</f>
        <v>3</v>
      </c>
      <c r="G74" s="44">
        <f>+'[1]Diana Salguero'!E4</f>
        <v>0</v>
      </c>
      <c r="H74" s="44">
        <f>+'[1]Diana Salguero'!F4</f>
        <v>0</v>
      </c>
      <c r="I74" s="44">
        <f>+'[1]Diana Salguero'!D5</f>
        <v>3</v>
      </c>
      <c r="J74" s="44">
        <f>+'[1]Diana Salguero'!E5</f>
        <v>5</v>
      </c>
      <c r="K74" s="44">
        <f>+'[1]Diana Salguero'!F5</f>
        <v>19.999999999996732</v>
      </c>
      <c r="L74" s="45">
        <f>+'[1]Diana Salguero'!G5</f>
        <v>4.0909090909090908</v>
      </c>
    </row>
    <row r="75" spans="1:12" x14ac:dyDescent="0.25">
      <c r="A75" s="37">
        <v>1711269488</v>
      </c>
      <c r="B75" s="37" t="s">
        <v>136</v>
      </c>
      <c r="C75" s="38" t="s">
        <v>61</v>
      </c>
      <c r="D75" s="38" t="s">
        <v>61</v>
      </c>
      <c r="E75" s="38"/>
      <c r="F75" s="34">
        <f>+'[1]Mayra Vernaza'!D5</f>
        <v>1</v>
      </c>
      <c r="G75" s="34">
        <f>+'[1]Mayra Vernaza'!E4</f>
        <v>3</v>
      </c>
      <c r="H75" s="34">
        <f>+'[1]Mayra Vernaza'!F4</f>
        <v>39.000000000000021</v>
      </c>
      <c r="I75" s="34">
        <f>+'[1]Mayra Vernaza'!D5</f>
        <v>1</v>
      </c>
      <c r="J75" s="34">
        <f>+'[1]Mayra Vernaza'!E5</f>
        <v>1</v>
      </c>
      <c r="K75" s="34">
        <f>+'[1]Mayra Vernaza'!F5</f>
        <v>40.99999999999671</v>
      </c>
      <c r="L75" s="35">
        <f>+'[1]Mayra Vernaza'!G5</f>
        <v>1.3636363636363635</v>
      </c>
    </row>
    <row r="76" spans="1:12" x14ac:dyDescent="0.25">
      <c r="A76" s="37">
        <v>1721081550</v>
      </c>
      <c r="B76" s="37" t="s">
        <v>137</v>
      </c>
      <c r="C76" s="38" t="s">
        <v>83</v>
      </c>
      <c r="D76" s="38" t="s">
        <v>83</v>
      </c>
      <c r="E76" s="38"/>
      <c r="F76" s="34">
        <f>+'[1]Andrés Baez'!D5</f>
        <v>0</v>
      </c>
      <c r="G76" s="34">
        <f>+'[1]Andrés Baez'!E4</f>
        <v>0</v>
      </c>
      <c r="H76" s="34">
        <f>+'[1]Andrés Baez'!F4</f>
        <v>26.000000000000014</v>
      </c>
      <c r="I76" s="34">
        <f>+'[1]Andrés Baez'!D5</f>
        <v>0</v>
      </c>
      <c r="J76" s="34">
        <f>+'[1]Andrés Baez'!E5</f>
        <v>4</v>
      </c>
      <c r="K76" s="34">
        <f>+'[1]Andrés Baez'!F5</f>
        <v>53.999999999996717</v>
      </c>
      <c r="L76" s="35">
        <f>+'[1]Andrés Baez'!G5</f>
        <v>0</v>
      </c>
    </row>
    <row r="77" spans="1:12" x14ac:dyDescent="0.25">
      <c r="A77" s="37">
        <v>1753330560</v>
      </c>
      <c r="B77" s="37" t="s">
        <v>138</v>
      </c>
      <c r="C77" s="38" t="s">
        <v>46</v>
      </c>
      <c r="D77" s="38" t="s">
        <v>46</v>
      </c>
      <c r="E77" s="38"/>
      <c r="F77" s="34">
        <f>+'[1]Rodrigo Valenzuela'!D5</f>
        <v>2</v>
      </c>
      <c r="G77" s="34">
        <f>+'[1]Rodrigo Valenzuela'!E4</f>
        <v>0</v>
      </c>
      <c r="H77" s="34">
        <f>+'[1]Rodrigo Valenzuela'!F4</f>
        <v>0</v>
      </c>
      <c r="I77" s="34">
        <f>+'[1]Rodrigo Valenzuela'!D5</f>
        <v>2</v>
      </c>
      <c r="J77" s="34">
        <f>+'[1]Rodrigo Valenzuela'!E5</f>
        <v>5</v>
      </c>
      <c r="K77" s="34">
        <f>+'[1]Rodrigo Valenzuela'!F5</f>
        <v>19.999999999996732</v>
      </c>
      <c r="L77" s="35">
        <f>+'[1]Rodrigo Valenzuela'!G5</f>
        <v>2.7272727272727271</v>
      </c>
    </row>
    <row r="78" spans="1:12" x14ac:dyDescent="0.25">
      <c r="A78" s="37">
        <v>1716985690</v>
      </c>
      <c r="B78" s="37" t="s">
        <v>139</v>
      </c>
      <c r="C78" s="38" t="s">
        <v>59</v>
      </c>
      <c r="D78" s="38" t="s">
        <v>51</v>
      </c>
      <c r="E78" s="38"/>
      <c r="F78" s="34">
        <f>+'[1]María Fernando Zurita'!D5</f>
        <v>3</v>
      </c>
      <c r="G78" s="34">
        <f>+'[1]María Fernando Zurita'!E4</f>
        <v>0</v>
      </c>
      <c r="H78" s="34">
        <f>+'[1]María Fernando Zurita'!F4</f>
        <v>0</v>
      </c>
      <c r="I78" s="34">
        <f>+'[1]María Fernando Zurita'!D5</f>
        <v>3</v>
      </c>
      <c r="J78" s="34">
        <f>+'[1]María Fernando Zurita'!E5</f>
        <v>5</v>
      </c>
      <c r="K78" s="34">
        <f>+'[1]María Fernando Zurita'!F5</f>
        <v>19.999999999996732</v>
      </c>
      <c r="L78" s="35">
        <f>+'[1]María Fernando Zurita'!G5</f>
        <v>4.0909090909090908</v>
      </c>
    </row>
    <row r="79" spans="1:12" x14ac:dyDescent="0.25">
      <c r="A79" s="37">
        <v>1715645691</v>
      </c>
      <c r="B79" s="37" t="s">
        <v>140</v>
      </c>
      <c r="C79" s="38" t="s">
        <v>71</v>
      </c>
      <c r="D79" s="38" t="s">
        <v>51</v>
      </c>
      <c r="E79" s="38"/>
      <c r="F79" s="34">
        <f>+'[1]Alejandro Morocho'!D5</f>
        <v>3</v>
      </c>
      <c r="G79" s="34">
        <f>+'[1]Alejandro Morocho'!E4</f>
        <v>0</v>
      </c>
      <c r="H79" s="34">
        <f>+'[1]Alejandro Morocho'!F4</f>
        <v>0</v>
      </c>
      <c r="I79" s="34">
        <f>+'[1]Alejandro Morocho'!D5</f>
        <v>3</v>
      </c>
      <c r="J79" s="34">
        <f>+'[1]Alejandro Morocho'!E5</f>
        <v>5</v>
      </c>
      <c r="K79" s="34">
        <f>+'[1]Alejandro Morocho'!F5</f>
        <v>19.999999999996732</v>
      </c>
      <c r="L79" s="35">
        <f>+'[1]Alejandro Morocho'!G5</f>
        <v>4.0909090909090908</v>
      </c>
    </row>
    <row r="80" spans="1:12" x14ac:dyDescent="0.25">
      <c r="A80" s="37">
        <v>1104625320</v>
      </c>
      <c r="B80" s="37" t="s">
        <v>141</v>
      </c>
      <c r="C80" s="38" t="s">
        <v>51</v>
      </c>
      <c r="D80" s="38" t="s">
        <v>51</v>
      </c>
      <c r="E80" s="38"/>
      <c r="F80" s="34">
        <f>+'[1]Matthew Armijos'!D5</f>
        <v>3</v>
      </c>
      <c r="G80" s="34">
        <f>+'[1]Matthew Armijos'!E4</f>
        <v>0</v>
      </c>
      <c r="H80" s="34">
        <f>+'[1]Matthew Armijos'!F4</f>
        <v>0</v>
      </c>
      <c r="I80" s="34">
        <f>+'[1]Matthew Armijos'!D5</f>
        <v>3</v>
      </c>
      <c r="J80" s="34">
        <f>+'[1]Matthew Armijos'!E5</f>
        <v>5</v>
      </c>
      <c r="K80" s="34">
        <f>+'[1]Matthew Armijos'!F5</f>
        <v>19.999999999996732</v>
      </c>
      <c r="L80" s="35">
        <f>+'[1]Matthew Armijos'!G5</f>
        <v>4.0909090909090908</v>
      </c>
    </row>
    <row r="81" spans="1:12" x14ac:dyDescent="0.25">
      <c r="A81" s="37">
        <v>1104981327</v>
      </c>
      <c r="B81" s="37" t="s">
        <v>142</v>
      </c>
      <c r="C81" s="38" t="s">
        <v>69</v>
      </c>
      <c r="D81" s="38" t="s">
        <v>51</v>
      </c>
      <c r="E81" s="38"/>
      <c r="F81" s="34">
        <f>+'[1]Danixa Calderón'!D5</f>
        <v>3</v>
      </c>
      <c r="G81" s="34">
        <f>+'[1]Danixa Calderón'!E4</f>
        <v>0</v>
      </c>
      <c r="H81" s="34">
        <f>+'[1]Danixa Calderón'!F4</f>
        <v>0</v>
      </c>
      <c r="I81" s="34">
        <f>+'[1]Danixa Calderón'!D5</f>
        <v>3</v>
      </c>
      <c r="J81" s="34">
        <f>+'[1]Danixa Calderón'!E5</f>
        <v>5</v>
      </c>
      <c r="K81" s="34">
        <f>+'[1]Danixa Calderón'!F5</f>
        <v>19.999999999996732</v>
      </c>
      <c r="L81" s="35">
        <f>+'[1]Danixa Calderón'!G5</f>
        <v>4.0909090909090908</v>
      </c>
    </row>
    <row r="82" spans="1:12" x14ac:dyDescent="0.25">
      <c r="A82" s="37">
        <v>1718380650</v>
      </c>
      <c r="B82" s="37" t="s">
        <v>143</v>
      </c>
      <c r="C82" s="38" t="s">
        <v>83</v>
      </c>
      <c r="D82" s="38" t="s">
        <v>83</v>
      </c>
      <c r="E82" s="38"/>
      <c r="F82" s="34">
        <f>+'[1]Carlos Pabón'!D5</f>
        <v>2</v>
      </c>
      <c r="G82" s="34">
        <f>+'[1]Carlos Pabón'!E4</f>
        <v>1</v>
      </c>
      <c r="H82" s="34">
        <f>+'[1]Carlos Pabón'!F4</f>
        <v>23</v>
      </c>
      <c r="I82" s="34">
        <f>+'[1]Carlos Pabón'!D5</f>
        <v>2</v>
      </c>
      <c r="J82" s="34">
        <f>+'[1]Carlos Pabón'!E5</f>
        <v>3</v>
      </c>
      <c r="K82" s="34">
        <f>+'[1]Carlos Pabón'!F5</f>
        <v>56.99999999999676</v>
      </c>
      <c r="L82" s="35">
        <f>+'[1]Carlos Pabón'!G5</f>
        <v>2.7272727272727271</v>
      </c>
    </row>
    <row r="83" spans="1:12" x14ac:dyDescent="0.25">
      <c r="A83" s="37">
        <v>550237242</v>
      </c>
      <c r="B83" s="37" t="s">
        <v>144</v>
      </c>
      <c r="C83" s="38" t="s">
        <v>66</v>
      </c>
      <c r="D83" s="38" t="s">
        <v>66</v>
      </c>
      <c r="E83" s="38"/>
      <c r="F83" s="34">
        <f>+'[1]Lisbeth Ortiz'!D5</f>
        <v>2</v>
      </c>
      <c r="G83" s="34">
        <f>+'[1]Lisbeth Ortiz'!E4</f>
        <v>0</v>
      </c>
      <c r="H83" s="34">
        <f>+'[1]Lisbeth Ortiz'!F4</f>
        <v>30</v>
      </c>
      <c r="I83" s="34">
        <f>+'[1]Lisbeth Ortiz'!D5</f>
        <v>2</v>
      </c>
      <c r="J83" s="34">
        <f>+'[1]Lisbeth Ortiz'!E5</f>
        <v>4</v>
      </c>
      <c r="K83" s="34">
        <f>+'[1]Lisbeth Ortiz'!F5</f>
        <v>49.999999999996732</v>
      </c>
      <c r="L83" s="35">
        <f>+'[1]Lisbeth Ortiz'!G5</f>
        <v>2.7272727272727271</v>
      </c>
    </row>
    <row r="84" spans="1:12" x14ac:dyDescent="0.25">
      <c r="A84" s="37">
        <v>704094234</v>
      </c>
      <c r="B84" s="37" t="s">
        <v>145</v>
      </c>
      <c r="C84" s="38" t="s">
        <v>66</v>
      </c>
      <c r="D84" s="38" t="s">
        <v>66</v>
      </c>
      <c r="E84" s="38"/>
      <c r="F84" s="34">
        <f>+'[1]Cristhian Duma'!D5</f>
        <v>2</v>
      </c>
      <c r="G84" s="34">
        <f>+'[1]Cristhian Duma'!E4</f>
        <v>0</v>
      </c>
      <c r="H84" s="34">
        <f>+'[1]Cristhian Duma'!F4</f>
        <v>24</v>
      </c>
      <c r="I84" s="34">
        <f>+'[1]Cristhian Duma'!D5</f>
        <v>2</v>
      </c>
      <c r="J84" s="34">
        <f>+'[1]Cristhian Duma'!E5</f>
        <v>4</v>
      </c>
      <c r="K84" s="34">
        <f>+'[1]Cristhian Duma'!F5</f>
        <v>55.999999999996817</v>
      </c>
      <c r="L84" s="35">
        <f>+'[1]Cristhian Duma'!G5</f>
        <v>2.7272727272727271</v>
      </c>
    </row>
    <row r="85" spans="1:12" x14ac:dyDescent="0.25">
      <c r="A85" s="37">
        <v>1003303433</v>
      </c>
      <c r="B85" s="37" t="s">
        <v>146</v>
      </c>
      <c r="C85" s="38" t="s">
        <v>66</v>
      </c>
      <c r="D85" s="38" t="s">
        <v>66</v>
      </c>
      <c r="E85" s="38"/>
      <c r="F85" s="34">
        <f>+'[1]Jhonathan Rojas'!D5</f>
        <v>2</v>
      </c>
      <c r="G85" s="34">
        <f>+'[1]Jhonathan Rojas'!E4</f>
        <v>0</v>
      </c>
      <c r="H85" s="34">
        <f>+'[1]Jhonathan Rojas'!F4</f>
        <v>0</v>
      </c>
      <c r="I85" s="34">
        <f>+'[1]Jhonathan Rojas'!D5</f>
        <v>2</v>
      </c>
      <c r="J85" s="34">
        <f>+'[1]Jhonathan Rojas'!E5</f>
        <v>5</v>
      </c>
      <c r="K85" s="34">
        <f>+'[1]Jhonathan Rojas'!F5</f>
        <v>19.999999999996732</v>
      </c>
      <c r="L85" s="35">
        <f>+'[1]Jhonathan Rojas'!G5</f>
        <v>2.7272727272727271</v>
      </c>
    </row>
    <row r="86" spans="1:12" x14ac:dyDescent="0.25">
      <c r="A86" s="37">
        <v>400701249</v>
      </c>
      <c r="B86" s="37" t="s">
        <v>147</v>
      </c>
      <c r="C86" s="38" t="s">
        <v>59</v>
      </c>
      <c r="D86" s="38" t="s">
        <v>59</v>
      </c>
      <c r="E86" s="38"/>
      <c r="F86" s="34">
        <f>+'[1]Ricardo Villarreal'!D5</f>
        <v>2</v>
      </c>
      <c r="G86" s="34">
        <f>+'[1]Ricardo Villarreal'!E4</f>
        <v>0</v>
      </c>
      <c r="H86" s="34">
        <f>+'[1]Ricardo Villarreal'!F4</f>
        <v>0</v>
      </c>
      <c r="I86" s="34">
        <f>+'[1]Ricardo Villarreal'!D5</f>
        <v>2</v>
      </c>
      <c r="J86" s="34">
        <f>+'[1]Ricardo Villarreal'!E5</f>
        <v>5</v>
      </c>
      <c r="K86" s="34">
        <f>+'[1]Ricardo Villarreal'!F5</f>
        <v>19.999999999996732</v>
      </c>
      <c r="L86" s="35">
        <f>+'[1]Ricardo Villarreal'!G5</f>
        <v>2.7272727272727271</v>
      </c>
    </row>
    <row r="87" spans="1:12" x14ac:dyDescent="0.25">
      <c r="A87" s="37">
        <v>803484765</v>
      </c>
      <c r="B87" s="37" t="s">
        <v>148</v>
      </c>
      <c r="C87" s="38" t="s">
        <v>66</v>
      </c>
      <c r="D87" s="38" t="s">
        <v>66</v>
      </c>
      <c r="E87" s="38"/>
      <c r="F87" s="34">
        <f>+'[1]Ángela Calderón'!D5</f>
        <v>1</v>
      </c>
      <c r="G87" s="34">
        <f>+'[1]Ángela Calderón'!E4</f>
        <v>0</v>
      </c>
      <c r="H87" s="34">
        <f>+'[1]Ángela Calderón'!F4</f>
        <v>0</v>
      </c>
      <c r="I87" s="34">
        <f>+'[1]Ángela Calderón'!D5</f>
        <v>1</v>
      </c>
      <c r="J87" s="34">
        <f>+'[1]Ángela Calderón'!E5</f>
        <v>6</v>
      </c>
      <c r="K87" s="34">
        <f>+'[1]Ángela Calderón'!F5</f>
        <v>39.999999999998366</v>
      </c>
      <c r="L87" s="35">
        <f>+'[1]Ángela Calderón'!G5</f>
        <v>1.3636363636363635</v>
      </c>
    </row>
    <row r="88" spans="1:12" x14ac:dyDescent="0.25">
      <c r="A88" s="37">
        <v>1722445408</v>
      </c>
      <c r="B88" s="37" t="s">
        <v>149</v>
      </c>
      <c r="C88" s="38" t="s">
        <v>83</v>
      </c>
      <c r="D88" s="38" t="s">
        <v>83</v>
      </c>
      <c r="E88" s="38"/>
      <c r="F88" s="34">
        <f>+'[1]Marcelo Vaca'!D5</f>
        <v>1</v>
      </c>
      <c r="G88" s="34">
        <f>+'[1]Marcelo Vaca'!E4</f>
        <v>0</v>
      </c>
      <c r="H88" s="34">
        <f>+'[1]Marcelo Vaca'!F4</f>
        <v>0</v>
      </c>
      <c r="I88" s="34">
        <f>+'[1]Marcelo Vaca'!D5</f>
        <v>1</v>
      </c>
      <c r="J88" s="34">
        <f>+'[1]Marcelo Vaca'!E5</f>
        <v>6</v>
      </c>
      <c r="K88" s="34">
        <f>+'[1]Marcelo Vaca'!F5</f>
        <v>39.999999999998366</v>
      </c>
      <c r="L88" s="35">
        <f>+'[1]Marcelo Vaca'!G5</f>
        <v>1.3636363636363635</v>
      </c>
    </row>
    <row r="89" spans="1:12" x14ac:dyDescent="0.25">
      <c r="A89" s="37">
        <v>602287674</v>
      </c>
      <c r="B89" s="37" t="s">
        <v>150</v>
      </c>
      <c r="C89" s="38" t="s">
        <v>59</v>
      </c>
      <c r="D89" s="38" t="s">
        <v>59</v>
      </c>
      <c r="E89" s="38"/>
      <c r="F89" s="34">
        <f>+'[1]Cristina Buenaño'!D5</f>
        <v>1</v>
      </c>
      <c r="G89" s="34">
        <f>+'[1]Cristina Buenaño'!E6</f>
        <v>0</v>
      </c>
      <c r="H89" s="34">
        <f>+'[1]Cristina Buenaño'!F4</f>
        <v>2</v>
      </c>
      <c r="I89" s="34">
        <f>+'[1]Cristina Buenaño'!D5</f>
        <v>1</v>
      </c>
      <c r="J89" s="34">
        <f>+'[1]Cristina Buenaño'!E5</f>
        <v>6</v>
      </c>
      <c r="K89" s="34">
        <f>+'[1]Cristina Buenaño'!F5</f>
        <v>37.999999999998373</v>
      </c>
      <c r="L89" s="35">
        <f>+'[1]Cristina Buenaño'!G5</f>
        <v>1.3636363636363635</v>
      </c>
    </row>
    <row r="90" spans="1:12" x14ac:dyDescent="0.25">
      <c r="A90" s="37">
        <v>1721295812</v>
      </c>
      <c r="B90" s="37" t="s">
        <v>151</v>
      </c>
      <c r="C90" s="40" t="s">
        <v>54</v>
      </c>
      <c r="D90" s="40" t="s">
        <v>54</v>
      </c>
      <c r="E90" s="38"/>
      <c r="F90" s="34">
        <f>+'[1]Marcelo Armas'!D5</f>
        <v>0</v>
      </c>
      <c r="G90" s="34">
        <f>+'[1]Marcelo Armas'!E4</f>
        <v>0</v>
      </c>
      <c r="H90" s="34">
        <f>+'[1]Marcelo Armas'!F4</f>
        <v>11</v>
      </c>
      <c r="I90" s="34">
        <f>+'[1]Marcelo Armas'!D5</f>
        <v>0</v>
      </c>
      <c r="J90" s="34">
        <f>+'[1]Marcelo Armas'!E5</f>
        <v>6</v>
      </c>
      <c r="K90" s="34">
        <f>+'[1]Marcelo Armas'!F5</f>
        <v>28.999999999998352</v>
      </c>
      <c r="L90" s="35">
        <f>+'[1]Marcelo Armas'!G5</f>
        <v>0</v>
      </c>
    </row>
    <row r="91" spans="1:12" x14ac:dyDescent="0.25">
      <c r="A91" s="37">
        <v>1722625850</v>
      </c>
      <c r="B91" s="37" t="s">
        <v>152</v>
      </c>
      <c r="C91" s="38" t="s">
        <v>56</v>
      </c>
      <c r="D91" s="38" t="s">
        <v>56</v>
      </c>
      <c r="E91" s="38"/>
      <c r="F91" s="34">
        <f>+'[1]Cristhopher Brito'!D5</f>
        <v>0</v>
      </c>
      <c r="G91" s="34">
        <f>+'[1]Cristhopher Brito'!E4</f>
        <v>0</v>
      </c>
      <c r="H91" s="34">
        <f>+'[1]Cristhopher Brito'!F4</f>
        <v>0</v>
      </c>
      <c r="I91" s="34">
        <f>+'[1]Cristhopher Brito'!D5</f>
        <v>0</v>
      </c>
      <c r="J91" s="34">
        <f>+'[1]Cristhopher Brito'!E5</f>
        <v>6</v>
      </c>
      <c r="K91" s="34">
        <f>+'[1]Cristhopher Brito'!F5</f>
        <v>39.999999999998366</v>
      </c>
      <c r="L91" s="35">
        <f>+'[1]Cristhopher Brito'!G5</f>
        <v>0</v>
      </c>
    </row>
    <row r="92" spans="1:12" x14ac:dyDescent="0.25">
      <c r="A92" s="37">
        <v>1713557609</v>
      </c>
      <c r="B92" s="37" t="s">
        <v>153</v>
      </c>
      <c r="C92" s="40" t="s">
        <v>53</v>
      </c>
      <c r="D92" s="40" t="s">
        <v>54</v>
      </c>
      <c r="E92" s="38"/>
      <c r="F92" s="34">
        <f>+'[1]Carla Niama'!D5</f>
        <v>0</v>
      </c>
      <c r="G92" s="34">
        <f>+'[1]Carla Niama'!E4</f>
        <v>0</v>
      </c>
      <c r="H92" s="34">
        <f>+'[1]Carla Niama'!F4</f>
        <v>54</v>
      </c>
      <c r="I92" s="34">
        <f>+'[1]Carla Niama'!D5</f>
        <v>0</v>
      </c>
      <c r="J92" s="34">
        <f>+'[1]Carla Niama'!E5</f>
        <v>5</v>
      </c>
      <c r="K92" s="34">
        <f>+'[1]Carla Niama'!F5</f>
        <v>45.999999999998344</v>
      </c>
      <c r="L92" s="35">
        <f>+'[1]Carla Niama'!G5</f>
        <v>0</v>
      </c>
    </row>
    <row r="93" spans="1:12" x14ac:dyDescent="0.25">
      <c r="A93" s="46">
        <v>802939389</v>
      </c>
      <c r="B93" s="46" t="s">
        <v>154</v>
      </c>
      <c r="C93" s="47" t="s">
        <v>51</v>
      </c>
      <c r="D93" s="47" t="s">
        <v>51</v>
      </c>
      <c r="E93" s="47"/>
      <c r="F93" s="48">
        <f>+'[1]Sandra Pinto'!D5</f>
        <v>0</v>
      </c>
      <c r="G93" s="48">
        <f>+'[1]Sandra Pinto'!E4</f>
        <v>0</v>
      </c>
      <c r="H93" s="48">
        <f>+'[1]Sandra Pinto'!F4</f>
        <v>30</v>
      </c>
      <c r="I93" s="48">
        <f>+'[1]Sandra Pinto'!D5</f>
        <v>0</v>
      </c>
      <c r="J93" s="48">
        <f>+'[1]Sandra Pinto'!E5</f>
        <v>2</v>
      </c>
      <c r="K93" s="48">
        <f>+'[1]Sandra Pinto'!F5</f>
        <v>9.9999999999840838</v>
      </c>
      <c r="L93" s="49">
        <f>+'[1]Sandra Pinto'!G5</f>
        <v>0</v>
      </c>
    </row>
    <row r="94" spans="1:12" x14ac:dyDescent="0.25">
      <c r="A94" s="46">
        <v>1005404957</v>
      </c>
      <c r="B94" s="46" t="s">
        <v>155</v>
      </c>
      <c r="C94" s="47" t="s">
        <v>83</v>
      </c>
      <c r="D94" s="47" t="s">
        <v>83</v>
      </c>
      <c r="E94" s="47"/>
      <c r="F94" s="48">
        <f>+'[1]Cristina Hugo'!D5</f>
        <v>0</v>
      </c>
      <c r="G94" s="48">
        <f>+'[1]Cristina Hugo'!E4</f>
        <v>0</v>
      </c>
      <c r="H94" s="48">
        <f>+'[1]Cristina Hugo'!F4</f>
        <v>0</v>
      </c>
      <c r="I94" s="48">
        <f>+'[1]Cristina Hugo'!D5</f>
        <v>0</v>
      </c>
      <c r="J94" s="48">
        <f>+'[1]Cristina Hugo'!E5</f>
        <v>0</v>
      </c>
      <c r="K94" s="48">
        <f>+'[1]Cristina Hugo'!F5</f>
        <v>0</v>
      </c>
      <c r="L94" s="49">
        <f>+'[1]Cristina Hugo'!G5</f>
        <v>0</v>
      </c>
    </row>
    <row r="95" spans="1:12" x14ac:dyDescent="0.25">
      <c r="A95" s="46">
        <v>1721904363</v>
      </c>
      <c r="B95" s="46" t="s">
        <v>156</v>
      </c>
      <c r="C95" s="47" t="s">
        <v>157</v>
      </c>
      <c r="D95" s="47" t="s">
        <v>158</v>
      </c>
      <c r="E95" s="47"/>
      <c r="F95" s="48">
        <f>+'[1]Liliana Tapia'!D5</f>
        <v>0</v>
      </c>
      <c r="G95" s="48">
        <f>+'[1]Liliana Tapia'!E4</f>
        <v>0</v>
      </c>
      <c r="H95" s="48">
        <f>+'[1]Liliana Tapia'!F4</f>
        <v>0</v>
      </c>
      <c r="I95" s="48">
        <f>+'[1]Liliana Tapia'!D5</f>
        <v>0</v>
      </c>
      <c r="J95" s="48">
        <f>+'[1]Liliana Tapia'!E5</f>
        <v>0</v>
      </c>
      <c r="K95" s="48">
        <f>+'[1]Liliana Tapia'!F5</f>
        <v>0</v>
      </c>
      <c r="L95" s="49">
        <f>+'[1]Liliana Tapia'!G5</f>
        <v>0</v>
      </c>
    </row>
    <row r="96" spans="1:12" x14ac:dyDescent="0.25">
      <c r="A96" s="46">
        <v>1721773511</v>
      </c>
      <c r="B96" s="46" t="s">
        <v>159</v>
      </c>
      <c r="C96" s="47" t="s">
        <v>66</v>
      </c>
      <c r="D96" s="47" t="s">
        <v>66</v>
      </c>
      <c r="E96" s="47"/>
      <c r="F96" s="48">
        <f>+'[1]Andrea Guamba'!D5</f>
        <v>0</v>
      </c>
      <c r="G96" s="48">
        <f>+'[1]Andrea Guamba'!E4</f>
        <v>0</v>
      </c>
      <c r="H96" s="48">
        <f>+'[1]Andrea Guamba'!F4</f>
        <v>0</v>
      </c>
      <c r="I96" s="48">
        <f>+'[1]Andrea Guamba'!D5</f>
        <v>0</v>
      </c>
      <c r="J96" s="48">
        <f>+'[1]Andrea Guamba'!E5</f>
        <v>0</v>
      </c>
      <c r="K96" s="48">
        <f>+'[1]Andrea Guamba'!F5</f>
        <v>0</v>
      </c>
      <c r="L96" s="49">
        <f>+'[1]Andrea Guamba'!G5</f>
        <v>0</v>
      </c>
    </row>
    <row r="97" spans="1:12" x14ac:dyDescent="0.25">
      <c r="A97" s="46">
        <v>1707633838</v>
      </c>
      <c r="B97" s="46" t="s">
        <v>160</v>
      </c>
      <c r="C97" s="47" t="s">
        <v>83</v>
      </c>
      <c r="D97" s="47" t="s">
        <v>51</v>
      </c>
      <c r="E97" s="47"/>
      <c r="F97" s="48">
        <f>+'[1]Fernando Viteri'!D5</f>
        <v>2</v>
      </c>
      <c r="G97" s="48">
        <f>+'[1]Fernando Viteri'!E4</f>
        <v>0</v>
      </c>
      <c r="H97" s="48">
        <f>+'[1]Fernando Viteri'!F4</f>
        <v>0</v>
      </c>
      <c r="I97" s="48">
        <f>+'[1]Fernando Viteri'!D5</f>
        <v>2</v>
      </c>
      <c r="J97" s="48">
        <f>+'[1]Fernando Viteri'!E5</f>
        <v>5</v>
      </c>
      <c r="K97" s="48">
        <f>+'[1]Fernando Viteri'!F5</f>
        <v>19.999999999996732</v>
      </c>
      <c r="L97" s="49">
        <f>+'[1]Fernando Viteri'!G5</f>
        <v>2.7272727272727271</v>
      </c>
    </row>
    <row r="98" spans="1:12" x14ac:dyDescent="0.25">
      <c r="A98" s="46">
        <v>1719219576</v>
      </c>
      <c r="B98" s="46" t="s">
        <v>161</v>
      </c>
      <c r="C98" s="47" t="s">
        <v>53</v>
      </c>
      <c r="D98" s="47" t="s">
        <v>51</v>
      </c>
      <c r="E98" s="47"/>
      <c r="F98" s="48">
        <f>+'[1]Carlos Játiva'!D5</f>
        <v>0</v>
      </c>
      <c r="G98" s="48">
        <f>+'[1]Carlos Játiva'!E4</f>
        <v>0</v>
      </c>
      <c r="H98" s="48">
        <f>+'[1]Carlos Játiva'!F4</f>
        <v>0</v>
      </c>
      <c r="I98" s="48">
        <f>+'[1]Carlos Játiva'!D5</f>
        <v>0</v>
      </c>
      <c r="J98" s="48">
        <f>+'[1]Carlos Játiva'!E5</f>
        <v>0</v>
      </c>
      <c r="K98" s="48">
        <f>+'[1]Carlos Játiva'!F5</f>
        <v>0</v>
      </c>
      <c r="L98" s="49">
        <f>+'[1]Carlos Játiva'!G5</f>
        <v>0</v>
      </c>
    </row>
    <row r="99" spans="1:12" x14ac:dyDescent="0.25">
      <c r="A99" s="46">
        <v>1714333364</v>
      </c>
      <c r="B99" s="46" t="s">
        <v>162</v>
      </c>
      <c r="C99" s="47" t="s">
        <v>48</v>
      </c>
      <c r="D99" s="47" t="s">
        <v>48</v>
      </c>
      <c r="E99" s="47"/>
      <c r="F99" s="48">
        <f>+'[1]Radharani Dasi'!D5</f>
        <v>-1</v>
      </c>
      <c r="G99" s="48">
        <f>+'[1]Radharani Dasi'!E4</f>
        <v>0</v>
      </c>
      <c r="H99" s="48">
        <f>+'[1]Radharani Dasi'!F4</f>
        <v>0</v>
      </c>
      <c r="I99" s="48">
        <f>+'[1]Radharani Dasi'!D5</f>
        <v>-1</v>
      </c>
      <c r="J99" s="48">
        <f>+'[1]Radharani Dasi'!E5</f>
        <v>0</v>
      </c>
      <c r="K99" s="48">
        <f>+'[1]Radharani Dasi'!F5</f>
        <v>0</v>
      </c>
      <c r="L99" s="49">
        <f>+'[1]Radharani Dasi'!G5</f>
        <v>-1.3636363636363635</v>
      </c>
    </row>
    <row r="100" spans="1:12" x14ac:dyDescent="0.25">
      <c r="A100" s="46">
        <v>1713639233</v>
      </c>
      <c r="B100" s="46" t="s">
        <v>163</v>
      </c>
      <c r="C100" s="47" t="s">
        <v>48</v>
      </c>
      <c r="D100" s="47" t="s">
        <v>48</v>
      </c>
      <c r="E100" s="47"/>
      <c r="F100" s="48">
        <f>+'[1]Santiago Andrade'!D5</f>
        <v>-1</v>
      </c>
      <c r="G100" s="48">
        <f>+'[1]Santiago Andrade'!E4</f>
        <v>0</v>
      </c>
      <c r="H100" s="48">
        <f>+'[1]Santiago Andrade'!F4</f>
        <v>0</v>
      </c>
      <c r="I100" s="48">
        <f>+'[1]Santiago Andrade'!D5</f>
        <v>-1</v>
      </c>
      <c r="J100" s="48">
        <f>+'[1]Santiago Andrade'!E5</f>
        <v>0</v>
      </c>
      <c r="K100" s="48">
        <f>+'[1]Santiago Andrade'!F5</f>
        <v>0</v>
      </c>
      <c r="L100" s="49">
        <f>+'[1]Santiago Andrade'!G5</f>
        <v>-1.3636363636363635</v>
      </c>
    </row>
    <row r="101" spans="1:12" x14ac:dyDescent="0.25">
      <c r="A101" s="46">
        <v>2300450679</v>
      </c>
      <c r="B101" s="46" t="s">
        <v>164</v>
      </c>
      <c r="C101" s="47" t="s">
        <v>48</v>
      </c>
      <c r="D101" s="47" t="s">
        <v>51</v>
      </c>
      <c r="E101" s="47"/>
      <c r="F101" s="48">
        <f>+'[1]Nayelhi Córdova'!D5</f>
        <v>-1</v>
      </c>
      <c r="G101" s="48">
        <f>+'[1]Nayelhi Córdova'!E4</f>
        <v>0</v>
      </c>
      <c r="H101" s="48">
        <f>+'[1]Nayelhi Córdova'!F4</f>
        <v>0</v>
      </c>
      <c r="I101" s="48">
        <f>+'[1]Nayelhi Córdova'!D5</f>
        <v>-1</v>
      </c>
      <c r="J101" s="48">
        <f>+'[1]Nayelhi Córdova'!E5</f>
        <v>0</v>
      </c>
      <c r="K101" s="48">
        <f>+'[1]Nayelhi Córdova'!F5</f>
        <v>0</v>
      </c>
      <c r="L101" s="49">
        <f>+'[1]Nayelhi Córdova'!G5</f>
        <v>-1.3636363636363635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04f88-3072-44ec-afc0-5ce1c4d6afd3" xsi:nil="true"/>
    <Detalle xmlns="eb6cfc7d-454b-455c-a802-a19b87e65dbf" xsi:nil="true"/>
    <lcf76f155ced4ddcb4097134ff3c332f xmlns="eb6cfc7d-454b-455c-a802-a19b87e65dbf">
      <Terms xmlns="http://schemas.microsoft.com/office/infopath/2007/PartnerControls"/>
    </lcf76f155ced4ddcb4097134ff3c332f>
    <SharedWithUsers xmlns="83d04f88-3072-44ec-afc0-5ce1c4d6afd3">
      <UserInfo>
        <DisplayName>Marilyn Salgado Nolivos</DisplayName>
        <AccountId>69</AccountId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54ee55e1cd47d0082900b531787ed093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e1c6b87f539671c917765636b9c364e6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5258F6-B869-4DE8-AB64-FBB6F274EEBA}">
  <ds:schemaRefs>
    <ds:schemaRef ds:uri="http://schemas.microsoft.com/office/2006/metadata/properties"/>
    <ds:schemaRef ds:uri="http://schemas.microsoft.com/office/infopath/2007/PartnerControls"/>
    <ds:schemaRef ds:uri="83d04f88-3072-44ec-afc0-5ce1c4d6afd3"/>
    <ds:schemaRef ds:uri="eb6cfc7d-454b-455c-a802-a19b87e65dbf"/>
  </ds:schemaRefs>
</ds:datastoreItem>
</file>

<file path=customXml/itemProps4.xml><?xml version="1.0" encoding="utf-8"?>
<ds:datastoreItem xmlns:ds="http://schemas.openxmlformats.org/officeDocument/2006/customXml" ds:itemID="{E8728EE0-AE62-4FF8-B9D5-4E954399D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2025-11-17T20:19:24Z</cp:lastPrinted>
  <dcterms:created xsi:type="dcterms:W3CDTF">2022-03-11T20:40:54Z</dcterms:created>
  <dcterms:modified xsi:type="dcterms:W3CDTF">2025-11-17T20:23:21Z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SharedWithUsers">
    <vt:lpwstr>69;#Marilyn Salgado Nolivos</vt:lpwstr>
  </property>
  <property fmtid="{D5CDD505-2E9C-101B-9397-08002B2CF9AE}" pid="4" name="MediaServiceImageTags">
    <vt:lpwstr/>
  </property>
</Properties>
</file>