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hivos\Informe Factibilidad\"/>
    </mc:Choice>
  </mc:AlternateContent>
  <xr:revisionPtr revIDLastSave="0" documentId="13_ncr:1_{3829AF38-09E6-4849-BC4D-18F34805D332}" xr6:coauthVersionLast="47" xr6:coauthVersionMax="47" xr10:uidLastSave="{00000000-0000-0000-0000-000000000000}"/>
  <bookViews>
    <workbookView xWindow="20370" yWindow="-120" windowWidth="20730" windowHeight="11040" activeTab="1" xr2:uid="{CF1D6739-F99E-4AC0-B08F-F0770FE842AC}"/>
  </bookViews>
  <sheets>
    <sheet name="Cuadro de Ponderaciones" sheetId="1" r:id="rId1"/>
    <sheet name="Criterios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D5" i="1"/>
  <c r="C5" i="1"/>
</calcChain>
</file>

<file path=xl/sharedStrings.xml><?xml version="1.0" encoding="utf-8"?>
<sst xmlns="http://schemas.openxmlformats.org/spreadsheetml/2006/main" count="39" uniqueCount="30">
  <si>
    <r>
      <t>Dimensión</t>
    </r>
    <r>
      <rPr>
        <sz val="10"/>
        <rFont val="Aptos"/>
        <family val="2"/>
      </rPr>
      <t> </t>
    </r>
  </si>
  <si>
    <r>
      <t>Peso</t>
    </r>
    <r>
      <rPr>
        <sz val="10"/>
        <rFont val="Aptos"/>
        <family val="2"/>
      </rPr>
      <t> </t>
    </r>
  </si>
  <si>
    <r>
      <t>Opción A</t>
    </r>
    <r>
      <rPr>
        <sz val="10"/>
        <rFont val="Aptos"/>
        <family val="2"/>
      </rPr>
      <t> </t>
    </r>
  </si>
  <si>
    <r>
      <t>Opción B</t>
    </r>
    <r>
      <rPr>
        <sz val="10"/>
        <rFont val="Aptos"/>
        <family val="2"/>
      </rPr>
      <t> </t>
    </r>
  </si>
  <si>
    <t>Técnica </t>
  </si>
  <si>
    <t>Económica </t>
  </si>
  <si>
    <t>Institucional </t>
  </si>
  <si>
    <r>
      <t>Total</t>
    </r>
    <r>
      <rPr>
        <sz val="10"/>
        <rFont val="Aptos"/>
        <family val="2"/>
      </rPr>
      <t> </t>
    </r>
  </si>
  <si>
    <t>Opción B (Solución SaaS/BPM)</t>
  </si>
  <si>
    <t>Potencia desarrollo de competencias internas</t>
  </si>
  <si>
    <t>Dependencia de Terceros</t>
  </si>
  <si>
    <t>Si</t>
  </si>
  <si>
    <t>No</t>
  </si>
  <si>
    <t>Soporte Disponible</t>
  </si>
  <si>
    <t>Hasta terminar licencia</t>
  </si>
  <si>
    <t>Criterios Generales</t>
  </si>
  <si>
    <t>Control total sobre diseño, desarrollo, despliegue y mantenimiento. </t>
  </si>
  <si>
    <t>Alineamiento continúo a los objetivos estratégicos</t>
  </si>
  <si>
    <t>Acceso inmediato a funcionalidades probadas</t>
  </si>
  <si>
    <r>
      <t>Opción A (Desarrollo interno):</t>
    </r>
    <r>
      <rPr>
        <sz val="12"/>
        <color theme="0"/>
        <rFont val="Aptos"/>
        <family val="2"/>
      </rPr>
      <t> </t>
    </r>
  </si>
  <si>
    <t>Planificación</t>
  </si>
  <si>
    <t>Infraestructura y CI/CD</t>
  </si>
  <si>
    <t>Pruebas y estabilización</t>
  </si>
  <si>
    <t>Consolidación y escalado</t>
  </si>
  <si>
    <t>Dias</t>
  </si>
  <si>
    <t>Fases</t>
  </si>
  <si>
    <t>15-45</t>
  </si>
  <si>
    <t>46-75</t>
  </si>
  <si>
    <t>76-90</t>
  </si>
  <si>
    <t>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</si>
</sst>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ptos"/>
      <family val="2"/>
    </font>
    <font>
      <sz val="10"/>
      <name val="Aptos"/>
      <family val="2"/>
    </font>
    <font>
      <sz val="8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b/>
      <sz val="12"/>
      <color theme="0"/>
      <name val="Aptos"/>
      <family val="2"/>
    </font>
    <font>
      <sz val="12"/>
      <color theme="0"/>
      <name val="Aptos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2" fillId="0" borderId="9" xfId="0" applyNumberFormat="1" applyFont="1" applyBorder="1" applyAlignment="1">
      <alignment horizontal="center" vertical="center" wrapText="1"/>
    </xf>
    <xf numFmtId="9" fontId="3" fillId="0" borderId="1" xfId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6" fillId="0" borderId="11" xfId="0" applyFont="1" applyBorder="1" applyAlignment="1">
      <alignment wrapText="1"/>
    </xf>
    <xf numFmtId="0" fontId="0" fillId="0" borderId="12" xfId="0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6" fillId="0" borderId="16" xfId="0" applyFont="1" applyBorder="1" applyAlignment="1">
      <alignment wrapText="1"/>
    </xf>
    <xf numFmtId="0" fontId="5" fillId="0" borderId="17" xfId="0" applyFont="1" applyBorder="1" applyAlignment="1">
      <alignment horizontal="center" wrapText="1"/>
    </xf>
    <xf numFmtId="0" fontId="5" fillId="0" borderId="18" xfId="0" applyFont="1" applyBorder="1" applyAlignment="1">
      <alignment horizontal="center"/>
    </xf>
    <xf numFmtId="0" fontId="7" fillId="0" borderId="13" xfId="0" applyFont="1" applyBorder="1" applyAlignment="1">
      <alignment wrapText="1"/>
    </xf>
    <xf numFmtId="0" fontId="7" fillId="0" borderId="14" xfId="0" applyFont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10" xfId="0" applyFont="1" applyBorder="1"/>
    <xf numFmtId="49" fontId="0" fillId="0" borderId="10" xfId="0" applyNumberFormat="1" applyBorder="1" applyAlignment="1">
      <alignment horizontal="center"/>
    </xf>
  </cellXfs>
  <cellStyles count="2">
    <cellStyle name="Normal" xfId="0" builtinId="0"/>
    <cellStyle name="Porcentaje" xfId="1" builtinId="5"/>
  </cellStyles>
  <dxfs count="10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0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0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b="1">
                <a:solidFill>
                  <a:sysClr val="windowText" lastClr="000000"/>
                </a:solidFill>
              </a:rPr>
              <a:t>Ponderaciones por Criterios y Opción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'Cuadro de Ponderaciones'!$C$1</c:f>
              <c:strCache>
                <c:ptCount val="1"/>
                <c:pt idx="0">
                  <c:v>Opción A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'Cuadro de Ponderaciones'!$A$2:$A$4</c:f>
              <c:strCache>
                <c:ptCount val="3"/>
                <c:pt idx="0">
                  <c:v>Técnica </c:v>
                </c:pt>
                <c:pt idx="1">
                  <c:v>Económica </c:v>
                </c:pt>
                <c:pt idx="2">
                  <c:v>Institucional </c:v>
                </c:pt>
              </c:strCache>
            </c:strRef>
          </c:cat>
          <c:val>
            <c:numRef>
              <c:f>'Cuadro de Ponderaciones'!$C$2:$C$4</c:f>
              <c:numCache>
                <c:formatCode>0.00</c:formatCode>
                <c:ptCount val="3"/>
                <c:pt idx="0">
                  <c:v>1.62</c:v>
                </c:pt>
                <c:pt idx="1">
                  <c:v>1.4</c:v>
                </c:pt>
                <c:pt idx="2">
                  <c:v>1.03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7A-4D2F-A96E-06201CE392D0}"/>
            </c:ext>
          </c:extLst>
        </c:ser>
        <c:ser>
          <c:idx val="2"/>
          <c:order val="1"/>
          <c:tx>
            <c:strRef>
              <c:f>'Cuadro de Ponderaciones'!$D$1</c:f>
              <c:strCache>
                <c:ptCount val="1"/>
                <c:pt idx="0">
                  <c:v>Opción B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'Cuadro de Ponderaciones'!$A$2:$A$4</c:f>
              <c:strCache>
                <c:ptCount val="3"/>
                <c:pt idx="0">
                  <c:v>Técnica </c:v>
                </c:pt>
                <c:pt idx="1">
                  <c:v>Económica </c:v>
                </c:pt>
                <c:pt idx="2">
                  <c:v>Institucional </c:v>
                </c:pt>
              </c:strCache>
            </c:strRef>
          </c:cat>
          <c:val>
            <c:numRef>
              <c:f>'Cuadro de Ponderaciones'!$D$2:$D$4</c:f>
              <c:numCache>
                <c:formatCode>0.00</c:formatCode>
                <c:ptCount val="3"/>
                <c:pt idx="0">
                  <c:v>1.36</c:v>
                </c:pt>
                <c:pt idx="1">
                  <c:v>1.19</c:v>
                </c:pt>
                <c:pt idx="2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7A-4D2F-A96E-06201CE39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48352"/>
        <c:axId val="208433952"/>
      </c:barChart>
      <c:catAx>
        <c:axId val="20844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8433952"/>
        <c:crosses val="autoZero"/>
        <c:auto val="1"/>
        <c:lblAlgn val="ctr"/>
        <c:lblOffset val="100"/>
        <c:noMultiLvlLbl val="0"/>
      </c:catAx>
      <c:valAx>
        <c:axId val="208433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20844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585787</xdr:colOff>
      <xdr:row>2</xdr:row>
      <xdr:rowOff>104775</xdr:rowOff>
    </xdr:from>
    <xdr:to>
      <xdr:col>10</xdr:col>
      <xdr:colOff>585787</xdr:colOff>
      <xdr:row>15</xdr:row>
      <xdr:rowOff>4761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95238A7-A5AA-23D4-8D2E-3C946A222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D24C57-7484-4A42-A2CA-D3A48D153A11}" name="Tabla1" displayName="Tabla1" ref="A1:C7" totalsRowShown="0" headerRowDxfId="3" headerRowBorderDxfId="8" tableBorderDxfId="9" totalsRowBorderDxfId="7">
  <autoFilter ref="A1:C7" xr:uid="{8FD24C57-7484-4A42-A2CA-D3A48D153A11}"/>
  <tableColumns count="3">
    <tableColumn id="1" xr3:uid="{32DC34E5-7896-4216-947A-5C039A9E3FAB}" name="Criterios Generales" dataDxfId="6"/>
    <tableColumn id="2" xr3:uid="{7606F3E7-8AE3-438B-8490-DCA3ED7361A0}" name="Opción A (Desarrollo interno): " dataDxfId="5"/>
    <tableColumn id="3" xr3:uid="{031CE40C-277E-4650-B25F-9F00AEBCF1DF}" name="Opción B (Solución SaaS/BPM)" dataDxfId="4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362D62-150B-4626-A114-CA7E9283F08A}" name="Tabla2" displayName="Tabla2" ref="A1:B5" totalsRowShown="0" headerRowDxfId="2">
  <autoFilter ref="A1:B5" xr:uid="{2F362D62-150B-4626-A114-CA7E9283F08A}"/>
  <tableColumns count="2">
    <tableColumn id="1" xr3:uid="{5FAF32FF-74FE-4704-938C-12F1D3A22C6B}" name="Fases" dataDxfId="1"/>
    <tableColumn id="2" xr3:uid="{FEC654C5-2305-4E2B-97DC-416EC2736CD6}" name="Dias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806D-A570-4E74-A839-C5C7A13FA307}">
  <dimension ref="A1:E6"/>
  <sheetViews>
    <sheetView workbookViewId="0">
      <selection activeCell="A9" sqref="A9"/>
    </sheetView>
  </sheetViews>
  <sheetFormatPr baseColWidth="10" defaultRowHeight="15" x14ac:dyDescent="0.25"/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5" ht="15.75" thickBot="1" x14ac:dyDescent="0.3">
      <c r="A2" s="4" t="s">
        <v>4</v>
      </c>
      <c r="B2" s="12">
        <v>0.4</v>
      </c>
      <c r="C2" s="6">
        <v>1.62</v>
      </c>
      <c r="D2" s="7">
        <v>1.36</v>
      </c>
      <c r="E2" s="9"/>
    </row>
    <row r="3" spans="1:5" ht="15.75" thickBot="1" x14ac:dyDescent="0.3">
      <c r="A3" s="4" t="s">
        <v>5</v>
      </c>
      <c r="B3" s="12">
        <v>0.35</v>
      </c>
      <c r="C3" s="6">
        <v>1.4</v>
      </c>
      <c r="D3" s="7">
        <v>1.19</v>
      </c>
      <c r="E3" s="9"/>
    </row>
    <row r="4" spans="1:5" ht="15.75" thickBot="1" x14ac:dyDescent="0.3">
      <c r="A4" s="4" t="s">
        <v>6</v>
      </c>
      <c r="B4" s="12">
        <v>0.25</v>
      </c>
      <c r="C4" s="6">
        <v>1.03</v>
      </c>
      <c r="D4" s="7">
        <v>0.85</v>
      </c>
    </row>
    <row r="5" spans="1:5" ht="15.75" thickBot="1" x14ac:dyDescent="0.3">
      <c r="A5" s="5" t="s">
        <v>7</v>
      </c>
      <c r="B5" s="13">
        <f>SUM(B2:B4)</f>
        <v>1</v>
      </c>
      <c r="C5" s="8">
        <f>SUM(C2:C4)</f>
        <v>4.05</v>
      </c>
      <c r="D5" s="11">
        <f>SUM(D2:D4)</f>
        <v>3.4</v>
      </c>
    </row>
    <row r="6" spans="1:5" x14ac:dyDescent="0.25">
      <c r="E6" s="10"/>
    </row>
  </sheetData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1C900-09CD-4CCC-8CD1-A75E1D0B933D}">
  <dimension ref="A1:C7"/>
  <sheetViews>
    <sheetView tabSelected="1" workbookViewId="0">
      <selection activeCellId="1" sqref="A7:B7 A1:C6"/>
    </sheetView>
  </sheetViews>
  <sheetFormatPr baseColWidth="10" defaultRowHeight="15" x14ac:dyDescent="0.25"/>
  <cols>
    <col min="1" max="1" width="31.5703125" customWidth="1"/>
    <col min="2" max="2" width="34.28515625" customWidth="1"/>
    <col min="3" max="3" width="34.85546875" customWidth="1"/>
  </cols>
  <sheetData>
    <row r="1" spans="1:3" ht="28.5" customHeight="1" x14ac:dyDescent="0.25">
      <c r="A1" s="22" t="s">
        <v>15</v>
      </c>
      <c r="B1" s="23" t="s">
        <v>19</v>
      </c>
      <c r="C1" s="24" t="s">
        <v>8</v>
      </c>
    </row>
    <row r="2" spans="1:3" ht="48" customHeight="1" x14ac:dyDescent="0.25">
      <c r="A2" s="16" t="s">
        <v>16</v>
      </c>
      <c r="B2" s="14" t="s">
        <v>11</v>
      </c>
      <c r="C2" s="17" t="s">
        <v>12</v>
      </c>
    </row>
    <row r="3" spans="1:3" ht="30" customHeight="1" x14ac:dyDescent="0.25">
      <c r="A3" s="16" t="s">
        <v>17</v>
      </c>
      <c r="B3" s="14" t="s">
        <v>11</v>
      </c>
      <c r="C3" s="18" t="s">
        <v>14</v>
      </c>
    </row>
    <row r="4" spans="1:3" ht="21.75" customHeight="1" x14ac:dyDescent="0.25">
      <c r="A4" s="16" t="s">
        <v>13</v>
      </c>
      <c r="B4" s="14" t="s">
        <v>11</v>
      </c>
      <c r="C4" s="18" t="s">
        <v>14</v>
      </c>
    </row>
    <row r="5" spans="1:3" ht="31.5" customHeight="1" x14ac:dyDescent="0.25">
      <c r="A5" s="16" t="s">
        <v>9</v>
      </c>
      <c r="B5" s="14" t="s">
        <v>11</v>
      </c>
      <c r="C5" s="17" t="s">
        <v>12</v>
      </c>
    </row>
    <row r="6" spans="1:3" ht="15.75" x14ac:dyDescent="0.25">
      <c r="A6" s="16" t="s">
        <v>10</v>
      </c>
      <c r="B6" s="14" t="s">
        <v>12</v>
      </c>
      <c r="C6" s="18" t="s">
        <v>11</v>
      </c>
    </row>
    <row r="7" spans="1:3" ht="30.75" customHeight="1" x14ac:dyDescent="0.25">
      <c r="A7" s="19" t="s">
        <v>18</v>
      </c>
      <c r="B7" s="20" t="s">
        <v>11</v>
      </c>
      <c r="C7" s="21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784F-9953-4780-B82C-BDBCD9877686}">
  <dimension ref="A1:B5"/>
  <sheetViews>
    <sheetView workbookViewId="0">
      <selection activeCell="A11" sqref="A11"/>
    </sheetView>
  </sheetViews>
  <sheetFormatPr baseColWidth="10" defaultRowHeight="15" x14ac:dyDescent="0.25"/>
  <cols>
    <col min="1" max="1" width="28.140625" bestFit="1" customWidth="1"/>
  </cols>
  <sheetData>
    <row r="1" spans="1:2" ht="15.75" x14ac:dyDescent="0.25">
      <c r="A1" s="25" t="s">
        <v>25</v>
      </c>
      <c r="B1" s="26" t="s">
        <v>24</v>
      </c>
    </row>
    <row r="2" spans="1:2" ht="15.75" x14ac:dyDescent="0.25">
      <c r="A2" s="27" t="s">
        <v>20</v>
      </c>
      <c r="B2" s="28" t="s">
        <v>29</v>
      </c>
    </row>
    <row r="3" spans="1:2" ht="15.75" x14ac:dyDescent="0.25">
      <c r="A3" s="27" t="s">
        <v>21</v>
      </c>
      <c r="B3" s="15" t="s">
        <v>26</v>
      </c>
    </row>
    <row r="4" spans="1:2" ht="15.75" x14ac:dyDescent="0.25">
      <c r="A4" s="27" t="s">
        <v>22</v>
      </c>
      <c r="B4" s="15" t="s">
        <v>27</v>
      </c>
    </row>
    <row r="5" spans="1:2" ht="15.75" x14ac:dyDescent="0.25">
      <c r="A5" s="27" t="s">
        <v>23</v>
      </c>
      <c r="B5" s="15" t="s">
        <v>28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Cuadro de Ponderaciones</vt:lpstr>
      <vt:lpstr>Criterios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Elizabeth Arcos Pilaluisa</dc:creator>
  <cp:lastModifiedBy>Norma Elizabeth Arcos Pilaluisa</cp:lastModifiedBy>
  <dcterms:created xsi:type="dcterms:W3CDTF">2025-07-10T16:46:03Z</dcterms:created>
  <dcterms:modified xsi:type="dcterms:W3CDTF">2025-07-10T19:49:57Z</dcterms:modified>
</cp:coreProperties>
</file>