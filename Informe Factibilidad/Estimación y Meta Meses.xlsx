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Informe Factibilidad\"/>
    </mc:Choice>
  </mc:AlternateContent>
  <xr:revisionPtr revIDLastSave="0" documentId="13_ncr:1_{C5CB22D4-00E1-40FA-8809-1903981C0744}" xr6:coauthVersionLast="47" xr6:coauthVersionMax="47" xr10:uidLastSave="{00000000-0000-0000-0000-000000000000}"/>
  <bookViews>
    <workbookView xWindow="-120" yWindow="-120" windowWidth="20730" windowHeight="11040" xr2:uid="{25C94796-23B5-4AB1-8756-64D743ABE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S6" i="1"/>
  <c r="S7" i="1"/>
  <c r="S8" i="1"/>
  <c r="S9" i="1"/>
  <c r="S10" i="1"/>
  <c r="S11" i="1"/>
  <c r="S12" i="1"/>
  <c r="S5" i="1"/>
  <c r="L13" i="1"/>
  <c r="N9" i="1"/>
  <c r="N10" i="1" s="1"/>
  <c r="N11" i="1" s="1"/>
  <c r="N12" i="1" s="1"/>
  <c r="N8" i="1"/>
  <c r="N7" i="1"/>
  <c r="N6" i="1"/>
  <c r="N5" i="1"/>
  <c r="B13" i="1"/>
  <c r="E4" i="1"/>
  <c r="K4" i="1" s="1"/>
  <c r="F4" i="1"/>
  <c r="M4" i="1" s="1"/>
  <c r="D4" i="1"/>
  <c r="I4" i="1" s="1"/>
  <c r="C4" i="1"/>
  <c r="F5" i="1"/>
  <c r="M5" i="1" s="1"/>
  <c r="E5" i="1"/>
  <c r="K5" i="1" s="1"/>
  <c r="L5" i="1" s="1"/>
  <c r="D5" i="1"/>
  <c r="I5" i="1" s="1"/>
  <c r="C5" i="1"/>
  <c r="G5" i="1" s="1"/>
  <c r="H5" i="1" s="1"/>
  <c r="P5" i="1" s="1"/>
  <c r="F6" i="1"/>
  <c r="M6" i="1" s="1"/>
  <c r="E6" i="1"/>
  <c r="K6" i="1" s="1"/>
  <c r="D6" i="1"/>
  <c r="I6" i="1" s="1"/>
  <c r="C6" i="1"/>
  <c r="G6" i="1" s="1"/>
  <c r="F7" i="1"/>
  <c r="M7" i="1" s="1"/>
  <c r="E7" i="1"/>
  <c r="K7" i="1" s="1"/>
  <c r="D7" i="1"/>
  <c r="I7" i="1" s="1"/>
  <c r="C7" i="1"/>
  <c r="G7" i="1" s="1"/>
  <c r="F8" i="1"/>
  <c r="M8" i="1" s="1"/>
  <c r="E8" i="1"/>
  <c r="K8" i="1" s="1"/>
  <c r="D8" i="1"/>
  <c r="I8" i="1" s="1"/>
  <c r="C8" i="1"/>
  <c r="G8" i="1" s="1"/>
  <c r="F9" i="1"/>
  <c r="M9" i="1" s="1"/>
  <c r="E9" i="1"/>
  <c r="K9" i="1" s="1"/>
  <c r="D9" i="1"/>
  <c r="I9" i="1" s="1"/>
  <c r="C9" i="1"/>
  <c r="G9" i="1" s="1"/>
  <c r="F10" i="1"/>
  <c r="M10" i="1" s="1"/>
  <c r="E10" i="1"/>
  <c r="K10" i="1" s="1"/>
  <c r="D10" i="1"/>
  <c r="I10" i="1" s="1"/>
  <c r="C10" i="1"/>
  <c r="G10" i="1" s="1"/>
  <c r="E11" i="1"/>
  <c r="K11" i="1" s="1"/>
  <c r="D11" i="1"/>
  <c r="I11" i="1" s="1"/>
  <c r="F12" i="1"/>
  <c r="M12" i="1" s="1"/>
  <c r="E12" i="1"/>
  <c r="K12" i="1" s="1"/>
  <c r="D12" i="1"/>
  <c r="I12" i="1" s="1"/>
  <c r="C12" i="1"/>
  <c r="G12" i="1" s="1"/>
  <c r="C11" i="1"/>
  <c r="G11" i="1" s="1"/>
  <c r="F11" i="1"/>
  <c r="M11" i="1" s="1"/>
  <c r="R5" i="1" l="1"/>
  <c r="L6" i="1"/>
  <c r="J5" i="1"/>
  <c r="H6" i="1"/>
  <c r="P6" i="1" s="1"/>
  <c r="I13" i="1"/>
  <c r="K13" i="1"/>
  <c r="M13" i="1"/>
  <c r="E13" i="1"/>
  <c r="C13" i="1"/>
  <c r="D13" i="1"/>
  <c r="F13" i="1"/>
  <c r="G4" i="1"/>
  <c r="R6" i="1" l="1"/>
  <c r="L7" i="1"/>
  <c r="Q5" i="1"/>
  <c r="J6" i="1"/>
  <c r="H7" i="1"/>
  <c r="P7" i="1" s="1"/>
  <c r="G13" i="1"/>
  <c r="R7" i="1" l="1"/>
  <c r="L8" i="1"/>
  <c r="Q6" i="1"/>
  <c r="J7" i="1"/>
  <c r="H8" i="1"/>
  <c r="P8" i="1" s="1"/>
  <c r="L9" i="1" l="1"/>
  <c r="R8" i="1"/>
  <c r="Q7" i="1"/>
  <c r="J8" i="1"/>
  <c r="H9" i="1"/>
  <c r="P9" i="1" s="1"/>
  <c r="L10" i="1" l="1"/>
  <c r="R9" i="1"/>
  <c r="J9" i="1"/>
  <c r="Q8" i="1"/>
  <c r="H10" i="1"/>
  <c r="P10" i="1" s="1"/>
  <c r="L11" i="1" l="1"/>
  <c r="R10" i="1"/>
  <c r="J10" i="1"/>
  <c r="Q9" i="1"/>
  <c r="H11" i="1"/>
  <c r="P11" i="1" s="1"/>
  <c r="L12" i="1" l="1"/>
  <c r="R12" i="1" s="1"/>
  <c r="R11" i="1"/>
  <c r="J11" i="1"/>
  <c r="Q10" i="1"/>
  <c r="H12" i="1"/>
  <c r="P12" i="1" s="1"/>
  <c r="J12" i="1" l="1"/>
  <c r="Q12" i="1" s="1"/>
  <c r="Q11" i="1"/>
</calcChain>
</file>

<file path=xl/sharedStrings.xml><?xml version="1.0" encoding="utf-8"?>
<sst xmlns="http://schemas.openxmlformats.org/spreadsheetml/2006/main" count="34" uniqueCount="23">
  <si>
    <t>RECAUDACIÓN</t>
  </si>
  <si>
    <t xml:space="preserve">TESORERIA			</t>
  </si>
  <si>
    <t>EJECUTADO</t>
  </si>
  <si>
    <t>META</t>
  </si>
  <si>
    <t>ACTIVOS FIJOS</t>
  </si>
  <si>
    <t>NÓMINA</t>
  </si>
  <si>
    <t>PLANIFICACIÓN DESARROLLO</t>
  </si>
  <si>
    <t>INVENTARIOS</t>
  </si>
  <si>
    <t>CONTABILIDAD</t>
  </si>
  <si>
    <t>PRESUPUESTO</t>
  </si>
  <si>
    <t>DIAS</t>
  </si>
  <si>
    <t>TOTAL</t>
  </si>
  <si>
    <t>ene 2025</t>
  </si>
  <si>
    <t xml:space="preserve">                                 RECURSOS
MÓDULO </t>
  </si>
  <si>
    <t xml:space="preserve"> UNO</t>
  </si>
  <si>
    <t>DOS</t>
  </si>
  <si>
    <t>TRES</t>
  </si>
  <si>
    <t>CUATRO</t>
  </si>
  <si>
    <t>CINCO</t>
  </si>
  <si>
    <t>TIEMPO</t>
  </si>
  <si>
    <t>MESES</t>
  </si>
  <si>
    <t>EXT. TELEFONICAS</t>
  </si>
  <si>
    <t>GARANTÍAS, CTRL. DE OBRAS Y DE BIENES INFORMÁTICOS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</si>
</sst>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242424"/>
      <name val="Aptos Narrow"/>
      <family val="2"/>
      <scheme val="minor"/>
    </font>
    <font>
      <sz val="10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3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right"/>
    </xf>
    <xf numFmtId="0" fontId="6" fillId="0" borderId="1" xfId="0" applyFont="1" applyBorder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A41E-764B-4E26-B59A-2CCED175286A}">
  <dimension ref="A1:S13"/>
  <sheetViews>
    <sheetView tabSelected="1" workbookViewId="0">
      <selection activeCell="A13" sqref="A13"/>
    </sheetView>
  </sheetViews>
  <sheetFormatPr baseColWidth="10" defaultRowHeight="15" x14ac:dyDescent="0.25"/>
  <cols>
    <col min="1" max="1" width="25.5703125" customWidth="1"/>
    <col min="2" max="2" width="8.5703125" customWidth="1"/>
    <col min="3" max="3" width="9.7109375" customWidth="1"/>
    <col min="4" max="4" width="10.28515625" customWidth="1"/>
    <col min="5" max="5" width="9.7109375" customWidth="1"/>
    <col min="6" max="6" width="10" customWidth="1"/>
    <col min="7" max="7" width="10.140625" customWidth="1"/>
    <col min="8" max="8" width="12.140625" hidden="1" customWidth="1"/>
    <col min="9" max="9" width="9.42578125" customWidth="1"/>
    <col min="10" max="10" width="0" hidden="1" customWidth="1"/>
    <col min="12" max="12" width="11.42578125" hidden="1" customWidth="1"/>
    <col min="14" max="14" width="0" hidden="1" customWidth="1"/>
    <col min="17" max="17" width="14.42578125" customWidth="1"/>
    <col min="18" max="18" width="13.42578125" customWidth="1"/>
    <col min="19" max="19" width="12.42578125" customWidth="1"/>
  </cols>
  <sheetData>
    <row r="1" spans="1:19" x14ac:dyDescent="0.25">
      <c r="B1" s="5" t="s">
        <v>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8"/>
      <c r="O1" s="23" t="s">
        <v>2</v>
      </c>
      <c r="P1" s="25" t="s">
        <v>3</v>
      </c>
      <c r="Q1" s="25"/>
      <c r="R1" s="25"/>
      <c r="S1" s="25"/>
    </row>
    <row r="2" spans="1:19" x14ac:dyDescent="0.25">
      <c r="A2" s="11" t="s">
        <v>19</v>
      </c>
      <c r="B2" s="5" t="s">
        <v>10</v>
      </c>
      <c r="C2" s="5"/>
      <c r="D2" s="5"/>
      <c r="E2" s="5"/>
      <c r="F2" s="5"/>
      <c r="G2" s="5" t="s">
        <v>20</v>
      </c>
      <c r="H2" s="5"/>
      <c r="I2" s="5"/>
      <c r="J2" s="5"/>
      <c r="K2" s="5"/>
      <c r="L2" s="5"/>
      <c r="M2" s="5"/>
      <c r="N2" s="9"/>
      <c r="O2" s="23"/>
      <c r="P2" s="25"/>
      <c r="Q2" s="25"/>
      <c r="R2" s="25"/>
      <c r="S2" s="25"/>
    </row>
    <row r="3" spans="1:19" ht="29.25" customHeight="1" x14ac:dyDescent="0.25">
      <c r="A3" s="10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15</v>
      </c>
      <c r="H3" s="1"/>
      <c r="I3" s="7" t="s">
        <v>16</v>
      </c>
      <c r="J3" s="7"/>
      <c r="K3" s="1" t="s">
        <v>17</v>
      </c>
      <c r="L3" s="1"/>
      <c r="M3" s="1" t="s">
        <v>18</v>
      </c>
      <c r="N3" s="4"/>
      <c r="O3" s="24"/>
      <c r="P3" s="1" t="s">
        <v>15</v>
      </c>
      <c r="Q3" s="1" t="s">
        <v>16</v>
      </c>
      <c r="R3" s="1" t="s">
        <v>17</v>
      </c>
      <c r="S3" s="1" t="s">
        <v>18</v>
      </c>
    </row>
    <row r="4" spans="1:19" ht="19.5" customHeight="1" x14ac:dyDescent="0.25">
      <c r="A4" s="12" t="s">
        <v>9</v>
      </c>
      <c r="B4" s="18">
        <v>419</v>
      </c>
      <c r="C4" s="18">
        <f>ROUND($B$4/2,0)</f>
        <v>210</v>
      </c>
      <c r="D4" s="18">
        <f>ROUND($B$4/3,0)</f>
        <v>140</v>
      </c>
      <c r="E4" s="18">
        <f>ROUND($B$4/4,0)</f>
        <v>105</v>
      </c>
      <c r="F4" s="18">
        <f>ROUND($B$4/5,0)</f>
        <v>84</v>
      </c>
      <c r="G4" s="19">
        <f>ROUND((C4*40.61)/883,2)</f>
        <v>9.66</v>
      </c>
      <c r="H4" s="21"/>
      <c r="I4" s="21">
        <f>ROUND((D4*27.04)/588,2)</f>
        <v>6.44</v>
      </c>
      <c r="J4" s="20"/>
      <c r="K4" s="18">
        <f>ROUND((E4*20.28)/441,2)</f>
        <v>4.83</v>
      </c>
      <c r="L4" s="18"/>
      <c r="M4" s="21">
        <f>ROUND((F4*16.19)/352,2)</f>
        <v>3.86</v>
      </c>
      <c r="N4" s="21"/>
      <c r="O4" s="19">
        <v>8.32</v>
      </c>
      <c r="P4" s="22" t="s">
        <v>12</v>
      </c>
      <c r="Q4" s="22" t="s">
        <v>12</v>
      </c>
      <c r="R4" s="22" t="s">
        <v>12</v>
      </c>
      <c r="S4" s="22" t="s">
        <v>12</v>
      </c>
    </row>
    <row r="5" spans="1:19" ht="19.5" customHeight="1" x14ac:dyDescent="0.25">
      <c r="A5" s="12" t="s">
        <v>8</v>
      </c>
      <c r="B5" s="18">
        <v>596</v>
      </c>
      <c r="C5" s="18">
        <f>ROUND($B$5/2,0)</f>
        <v>298</v>
      </c>
      <c r="D5" s="18">
        <f>ROUND($B$5/3,0)</f>
        <v>199</v>
      </c>
      <c r="E5" s="18">
        <f>ROUND($B$5/4,0)</f>
        <v>149</v>
      </c>
      <c r="F5" s="18">
        <f>ROUND($B$5/5,0)</f>
        <v>119</v>
      </c>
      <c r="G5" s="19">
        <f t="shared" ref="G5:G12" si="0">ROUND((C5*40.61)/883,2)</f>
        <v>13.71</v>
      </c>
      <c r="H5" s="21">
        <f>0+G5</f>
        <v>13.71</v>
      </c>
      <c r="I5" s="21">
        <f t="shared" ref="I5:I12" si="1">ROUND((D5*27.04)/588,2)</f>
        <v>9.15</v>
      </c>
      <c r="J5" s="20">
        <f>0+I5</f>
        <v>9.15</v>
      </c>
      <c r="K5" s="18">
        <f t="shared" ref="K5:K12" si="2">ROUND((E5*20.28)/441,2)</f>
        <v>6.85</v>
      </c>
      <c r="L5" s="18">
        <f>0+K5</f>
        <v>6.85</v>
      </c>
      <c r="M5" s="21">
        <f>ROUND((F5*16.19)/352,2)</f>
        <v>5.47</v>
      </c>
      <c r="N5" s="21">
        <f>+M5</f>
        <v>5.47</v>
      </c>
      <c r="O5" s="19">
        <v>0</v>
      </c>
      <c r="P5" s="22" t="str">
        <f xml:space="preserve"> TEXT(DATE(2025,9,1)+H5*30,"mmm aaaa")</f>
        <v>oct 2026</v>
      </c>
      <c r="Q5" s="22" t="str">
        <f xml:space="preserve"> TEXT(DATE(2025,9,1)+J5*30,"mmm aaaa")</f>
        <v>jun 2026</v>
      </c>
      <c r="R5" s="22" t="str">
        <f xml:space="preserve"> TEXT(DATE(2025,9,1)+L5*30,"mmm aaaa")</f>
        <v>mar 2026</v>
      </c>
      <c r="S5" s="22" t="str">
        <f xml:space="preserve"> TEXT(DATE(2025,9,1)+N5*30,"mmm aaaa")</f>
        <v>feb 2026</v>
      </c>
    </row>
    <row r="6" spans="1:19" ht="19.5" customHeight="1" x14ac:dyDescent="0.25">
      <c r="A6" s="12" t="s">
        <v>7</v>
      </c>
      <c r="B6" s="18">
        <v>104</v>
      </c>
      <c r="C6" s="18">
        <f>ROUND($B$6/2,0)</f>
        <v>52</v>
      </c>
      <c r="D6" s="18">
        <f>ROUND($B$6/3,0)</f>
        <v>35</v>
      </c>
      <c r="E6" s="18">
        <f>ROUND($B$6/4,0)</f>
        <v>26</v>
      </c>
      <c r="F6" s="18">
        <f>ROUND($B$6/5,0)</f>
        <v>21</v>
      </c>
      <c r="G6" s="19">
        <f t="shared" si="0"/>
        <v>2.39</v>
      </c>
      <c r="H6" s="21">
        <f>H5+G6</f>
        <v>16.100000000000001</v>
      </c>
      <c r="I6" s="21">
        <f t="shared" si="1"/>
        <v>1.61</v>
      </c>
      <c r="J6" s="20">
        <f>J5+I6</f>
        <v>10.76</v>
      </c>
      <c r="K6" s="18">
        <f t="shared" si="2"/>
        <v>1.2</v>
      </c>
      <c r="L6" s="18">
        <f>L5+K6</f>
        <v>8.0499999999999989</v>
      </c>
      <c r="M6" s="21">
        <f>ROUND((F6*16.19)/352,2)</f>
        <v>0.97</v>
      </c>
      <c r="N6" s="21">
        <f>N5+M6</f>
        <v>6.4399999999999995</v>
      </c>
      <c r="O6" s="19">
        <v>0</v>
      </c>
      <c r="P6" s="22" t="str">
        <f t="shared" ref="P6:P12" si="3" xml:space="preserve"> TEXT(DATE(2025,9,1)+H6*30,"mmm aaaa")</f>
        <v>dic 2026</v>
      </c>
      <c r="Q6" s="22" t="str">
        <f t="shared" ref="Q6:Q12" si="4" xml:space="preserve"> TEXT(DATE(2025,9,1)+J6*30,"mmm aaaa")</f>
        <v>jul 2026</v>
      </c>
      <c r="R6" s="22" t="str">
        <f t="shared" ref="R6:R13" si="5" xml:space="preserve"> TEXT(DATE(2025,9,1)+L6*30,"mmm aaaa")</f>
        <v>abr 2026</v>
      </c>
      <c r="S6" s="22" t="str">
        <f t="shared" ref="S6:S12" si="6" xml:space="preserve"> TEXT(DATE(2025,9,1)+N6*30,"mmm aaaa")</f>
        <v>mar 2026</v>
      </c>
    </row>
    <row r="7" spans="1:19" x14ac:dyDescent="0.25">
      <c r="A7" s="12" t="s">
        <v>5</v>
      </c>
      <c r="B7" s="18">
        <v>267</v>
      </c>
      <c r="C7" s="18">
        <f>ROUND($B$7/2,0)</f>
        <v>134</v>
      </c>
      <c r="D7" s="18">
        <f>ROUND($B$7/3,0)</f>
        <v>89</v>
      </c>
      <c r="E7" s="18">
        <f>ROUND($B$7/4,0)</f>
        <v>67</v>
      </c>
      <c r="F7" s="18">
        <f>ROUND($B$7/5,0)</f>
        <v>53</v>
      </c>
      <c r="G7" s="19">
        <f t="shared" si="0"/>
        <v>6.16</v>
      </c>
      <c r="H7" s="21">
        <f>H6+G7</f>
        <v>22.26</v>
      </c>
      <c r="I7" s="21">
        <f t="shared" si="1"/>
        <v>4.09</v>
      </c>
      <c r="J7" s="20">
        <f>J6+I7</f>
        <v>14.85</v>
      </c>
      <c r="K7" s="18">
        <f t="shared" si="2"/>
        <v>3.08</v>
      </c>
      <c r="L7" s="18">
        <f>L6+K7</f>
        <v>11.129999999999999</v>
      </c>
      <c r="M7" s="21">
        <f>ROUND((F7*16.19)/352,2)</f>
        <v>2.44</v>
      </c>
      <c r="N7" s="21">
        <f>N6+M7</f>
        <v>8.879999999999999</v>
      </c>
      <c r="O7" s="19">
        <v>0</v>
      </c>
      <c r="P7" s="22" t="str">
        <f t="shared" si="3"/>
        <v>jun 2027</v>
      </c>
      <c r="Q7" s="22" t="str">
        <f t="shared" si="4"/>
        <v>nov 2026</v>
      </c>
      <c r="R7" s="22" t="str">
        <f t="shared" si="5"/>
        <v>jul 2026</v>
      </c>
      <c r="S7" s="22" t="str">
        <f t="shared" si="6"/>
        <v>may 2026</v>
      </c>
    </row>
    <row r="8" spans="1:19" ht="19.5" customHeight="1" x14ac:dyDescent="0.25">
      <c r="A8" s="12" t="s">
        <v>4</v>
      </c>
      <c r="B8" s="18">
        <v>141</v>
      </c>
      <c r="C8" s="18">
        <f>ROUND($B$8/2,0)</f>
        <v>71</v>
      </c>
      <c r="D8" s="18">
        <f>ROUND($B$8/3,0)</f>
        <v>47</v>
      </c>
      <c r="E8" s="18">
        <f>ROUND($B$8/4,0)</f>
        <v>35</v>
      </c>
      <c r="F8" s="18">
        <f>ROUND($B$8/5,0)</f>
        <v>28</v>
      </c>
      <c r="G8" s="19">
        <f t="shared" si="0"/>
        <v>3.27</v>
      </c>
      <c r="H8" s="21">
        <f>H7+G8</f>
        <v>25.53</v>
      </c>
      <c r="I8" s="21">
        <f t="shared" si="1"/>
        <v>2.16</v>
      </c>
      <c r="J8" s="20">
        <f>J7+I8</f>
        <v>17.009999999999998</v>
      </c>
      <c r="K8" s="18">
        <f t="shared" si="2"/>
        <v>1.61</v>
      </c>
      <c r="L8" s="18">
        <f>L7+K8</f>
        <v>12.739999999999998</v>
      </c>
      <c r="M8" s="21">
        <f>ROUND((F8*16.19)/352,2)</f>
        <v>1.29</v>
      </c>
      <c r="N8" s="21">
        <f>N7+M8</f>
        <v>10.169999999999998</v>
      </c>
      <c r="O8" s="19">
        <v>0</v>
      </c>
      <c r="P8" s="22" t="str">
        <f t="shared" si="3"/>
        <v>oct 2027</v>
      </c>
      <c r="Q8" s="22" t="str">
        <f t="shared" si="4"/>
        <v>ene 2027</v>
      </c>
      <c r="R8" s="22" t="str">
        <f t="shared" si="5"/>
        <v>sep 2026</v>
      </c>
      <c r="S8" s="22" t="str">
        <f t="shared" si="6"/>
        <v>jul 2026</v>
      </c>
    </row>
    <row r="9" spans="1:19" ht="19.5" customHeight="1" x14ac:dyDescent="0.25">
      <c r="A9" s="12" t="s">
        <v>1</v>
      </c>
      <c r="B9" s="18">
        <v>31</v>
      </c>
      <c r="C9" s="18">
        <f>ROUND($B$9/2,0)</f>
        <v>16</v>
      </c>
      <c r="D9" s="18">
        <f>ROUND($B$9/3,0)</f>
        <v>10</v>
      </c>
      <c r="E9" s="18">
        <f>ROUND($B$9/4,0)</f>
        <v>8</v>
      </c>
      <c r="F9" s="18">
        <f>ROUND($B$9/5,0)</f>
        <v>6</v>
      </c>
      <c r="G9" s="19">
        <f t="shared" si="0"/>
        <v>0.74</v>
      </c>
      <c r="H9" s="21">
        <f t="shared" ref="H9:H12" si="7">H8+G9</f>
        <v>26.27</v>
      </c>
      <c r="I9" s="21">
        <f t="shared" si="1"/>
        <v>0.46</v>
      </c>
      <c r="J9" s="20">
        <f t="shared" ref="J9:J12" si="8">J8+I9</f>
        <v>17.47</v>
      </c>
      <c r="K9" s="18">
        <f t="shared" si="2"/>
        <v>0.37</v>
      </c>
      <c r="L9" s="18">
        <f t="shared" ref="L9:L12" si="9">L8+K9</f>
        <v>13.109999999999998</v>
      </c>
      <c r="M9" s="21">
        <f>ROUND((F9*16.19)/352,2)</f>
        <v>0.28000000000000003</v>
      </c>
      <c r="N9" s="21">
        <f t="shared" ref="N9:N12" si="10">N8+M9</f>
        <v>10.449999999999998</v>
      </c>
      <c r="O9" s="19">
        <v>0</v>
      </c>
      <c r="P9" s="22" t="str">
        <f t="shared" si="3"/>
        <v>oct 2027</v>
      </c>
      <c r="Q9" s="22" t="str">
        <f t="shared" si="4"/>
        <v>feb 2027</v>
      </c>
      <c r="R9" s="22" t="str">
        <f t="shared" si="5"/>
        <v>sep 2026</v>
      </c>
      <c r="S9" s="22" t="str">
        <f t="shared" si="6"/>
        <v>jul 2026</v>
      </c>
    </row>
    <row r="10" spans="1:19" ht="19.5" customHeight="1" x14ac:dyDescent="0.25">
      <c r="A10" s="13" t="s">
        <v>0</v>
      </c>
      <c r="B10" s="18">
        <v>80</v>
      </c>
      <c r="C10" s="18">
        <f>ROUND($B$10/2,0)</f>
        <v>40</v>
      </c>
      <c r="D10" s="18">
        <f>ROUND($B$10/3,0)</f>
        <v>27</v>
      </c>
      <c r="E10" s="18">
        <f>ROUND($B$10/4,0)</f>
        <v>20</v>
      </c>
      <c r="F10" s="18">
        <f>ROUND($B$10/5,0)</f>
        <v>16</v>
      </c>
      <c r="G10" s="19">
        <f t="shared" si="0"/>
        <v>1.84</v>
      </c>
      <c r="H10" s="21">
        <f t="shared" si="7"/>
        <v>28.11</v>
      </c>
      <c r="I10" s="21">
        <f t="shared" si="1"/>
        <v>1.24</v>
      </c>
      <c r="J10" s="20">
        <f t="shared" si="8"/>
        <v>18.709999999999997</v>
      </c>
      <c r="K10" s="18">
        <f t="shared" si="2"/>
        <v>0.92</v>
      </c>
      <c r="L10" s="18">
        <f t="shared" si="9"/>
        <v>14.029999999999998</v>
      </c>
      <c r="M10" s="21">
        <f>ROUND((F10*16.19)/352,2)</f>
        <v>0.74</v>
      </c>
      <c r="N10" s="21">
        <f t="shared" si="10"/>
        <v>11.189999999999998</v>
      </c>
      <c r="O10" s="19">
        <v>0</v>
      </c>
      <c r="P10" s="22" t="str">
        <f t="shared" si="3"/>
        <v>dic 2027</v>
      </c>
      <c r="Q10" s="22" t="str">
        <f t="shared" si="4"/>
        <v>mar 2027</v>
      </c>
      <c r="R10" s="22" t="str">
        <f t="shared" si="5"/>
        <v>oct 2026</v>
      </c>
      <c r="S10" s="22" t="str">
        <f t="shared" si="6"/>
        <v>ago 2026</v>
      </c>
    </row>
    <row r="11" spans="1:19" ht="27" customHeight="1" x14ac:dyDescent="0.25">
      <c r="A11" s="15" t="s">
        <v>22</v>
      </c>
      <c r="B11" s="18">
        <v>115</v>
      </c>
      <c r="C11" s="18">
        <f>ROUND(B$11/2,0)</f>
        <v>58</v>
      </c>
      <c r="D11" s="18">
        <f>ROUND(B$11/3,0)</f>
        <v>38</v>
      </c>
      <c r="E11" s="18">
        <f>ROUND(B$11/4,0)</f>
        <v>29</v>
      </c>
      <c r="F11" s="18">
        <f>ROUND($B$11/5,0)</f>
        <v>23</v>
      </c>
      <c r="G11" s="19">
        <f t="shared" si="0"/>
        <v>2.67</v>
      </c>
      <c r="H11" s="21">
        <f t="shared" si="7"/>
        <v>30.78</v>
      </c>
      <c r="I11" s="21">
        <f t="shared" si="1"/>
        <v>1.75</v>
      </c>
      <c r="J11" s="20">
        <f t="shared" si="8"/>
        <v>20.459999999999997</v>
      </c>
      <c r="K11" s="18">
        <f t="shared" si="2"/>
        <v>1.33</v>
      </c>
      <c r="L11" s="18">
        <f t="shared" si="9"/>
        <v>15.359999999999998</v>
      </c>
      <c r="M11" s="21">
        <f>ROUND((F11*16.19)/352,2)</f>
        <v>1.06</v>
      </c>
      <c r="N11" s="21">
        <f t="shared" si="10"/>
        <v>12.249999999999998</v>
      </c>
      <c r="O11" s="19">
        <v>0</v>
      </c>
      <c r="P11" s="22" t="str">
        <f t="shared" si="3"/>
        <v>mar 2028</v>
      </c>
      <c r="Q11" s="22" t="str">
        <f t="shared" si="4"/>
        <v>may 2027</v>
      </c>
      <c r="R11" s="22" t="str">
        <f t="shared" si="5"/>
        <v>dic 2026</v>
      </c>
      <c r="S11" s="22" t="str">
        <f t="shared" si="6"/>
        <v>sep 2026</v>
      </c>
    </row>
    <row r="12" spans="1:19" ht="23.25" customHeight="1" x14ac:dyDescent="0.25">
      <c r="A12" s="12" t="s">
        <v>21</v>
      </c>
      <c r="B12" s="18">
        <v>8</v>
      </c>
      <c r="C12" s="18">
        <f>ROUND(B$12/2,0)</f>
        <v>4</v>
      </c>
      <c r="D12" s="18">
        <f>ROUND(B$12/3,0)</f>
        <v>3</v>
      </c>
      <c r="E12" s="18">
        <f>ROUND(B$12/4,0)</f>
        <v>2</v>
      </c>
      <c r="F12" s="18">
        <f>ROUND(B$12/5,0)</f>
        <v>2</v>
      </c>
      <c r="G12" s="19">
        <f t="shared" si="0"/>
        <v>0.18</v>
      </c>
      <c r="H12" s="21">
        <f t="shared" si="7"/>
        <v>30.96</v>
      </c>
      <c r="I12" s="21">
        <f t="shared" si="1"/>
        <v>0.14000000000000001</v>
      </c>
      <c r="J12" s="20">
        <f t="shared" si="8"/>
        <v>20.599999999999998</v>
      </c>
      <c r="K12" s="18">
        <f t="shared" si="2"/>
        <v>0.09</v>
      </c>
      <c r="L12" s="18">
        <f t="shared" si="9"/>
        <v>15.449999999999998</v>
      </c>
      <c r="M12" s="21">
        <f>ROUND((F12*16.19)/352,2)</f>
        <v>0.09</v>
      </c>
      <c r="N12" s="21">
        <f t="shared" si="10"/>
        <v>12.339999999999998</v>
      </c>
      <c r="O12" s="19">
        <v>0</v>
      </c>
      <c r="P12" s="6" t="str">
        <f t="shared" si="3"/>
        <v>mar 2028</v>
      </c>
      <c r="Q12" s="6" t="str">
        <f t="shared" si="4"/>
        <v>may 2027</v>
      </c>
      <c r="R12" s="6" t="str">
        <f t="shared" si="5"/>
        <v>dic 2026</v>
      </c>
      <c r="S12" s="6" t="str">
        <f t="shared" si="6"/>
        <v>sep 2026</v>
      </c>
    </row>
    <row r="13" spans="1:19" s="2" customFormat="1" x14ac:dyDescent="0.25">
      <c r="A13" s="14" t="s">
        <v>11</v>
      </c>
      <c r="B13" s="26">
        <f>SUM(B4:B12)</f>
        <v>1761</v>
      </c>
      <c r="C13" s="26">
        <f>SUM(C4:C12)</f>
        <v>883</v>
      </c>
      <c r="D13" s="26">
        <f t="shared" ref="D13:F13" si="11">SUM(D4:D12)</f>
        <v>588</v>
      </c>
      <c r="E13" s="26">
        <f t="shared" si="11"/>
        <v>441</v>
      </c>
      <c r="F13" s="26">
        <f t="shared" si="11"/>
        <v>352</v>
      </c>
      <c r="G13" s="16">
        <f>SUM(G4:G12)</f>
        <v>40.620000000000012</v>
      </c>
      <c r="H13" s="16"/>
      <c r="I13" s="17">
        <f>SUM(I4:I12)</f>
        <v>27.04</v>
      </c>
      <c r="J13" s="17"/>
      <c r="K13" s="17">
        <f>SUM(K4:K12)</f>
        <v>20.280000000000005</v>
      </c>
      <c r="L13" s="17">
        <f>L12+K4</f>
        <v>20.279999999999998</v>
      </c>
      <c r="M13" s="17">
        <f>SUM(M4:M12)</f>
        <v>16.2</v>
      </c>
      <c r="N13" s="17">
        <f>N12+M4</f>
        <v>16.2</v>
      </c>
      <c r="O13" s="17">
        <v>8.32</v>
      </c>
      <c r="P13" s="3"/>
      <c r="Q13" s="3"/>
    </row>
  </sheetData>
  <mergeCells count="5">
    <mergeCell ref="B2:F2"/>
    <mergeCell ref="G2:M2"/>
    <mergeCell ref="B1:M1"/>
    <mergeCell ref="O1:O3"/>
    <mergeCell ref="P1:S2"/>
  </mergeCells>
  <phoneticPr fontId="4" type="noConversion"/>
  <pageMargins left="0.7" right="0.7" top="0.75" bottom="0.75" header="0.3" footer="0.3"/>
  <pageSetup paperSize="9" orientation="portrait" r:id="rId1"/>
  <ignoredErrors>
    <ignoredError sqref="I5:I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2025-07-17T14:52:19Z</dcterms:created>
  <dcterms:modified xsi:type="dcterms:W3CDTF">2025-07-17T20:05:20Z</dcterms:modified>
</cp:coreProperties>
</file>