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Archivos\Planificacion\"/>
    </mc:Choice>
  </mc:AlternateContent>
  <xr:revisionPtr revIDLastSave="0" documentId="13_ncr:1_{2077688B-C190-4865-ADBB-9D07B7CC1792}" xr6:coauthVersionLast="47" xr6:coauthVersionMax="47" xr10:uidLastSave="{00000000-0000-0000-0000-000000000000}"/>
  <bookViews>
    <workbookView xWindow="-120" yWindow="-120" windowWidth="20730" windowHeight="11040" tabRatio="852" firstSheet="19" activeTab="21" xr2:uid="{9054E0F4-FEFC-4FC5-8823-7D959C7FD1F8}"/>
  </bookViews>
  <sheets>
    <sheet name="Semana 1-5 Abril (3)" sheetId="5" state="hidden" r:id="rId1"/>
    <sheet name="Semana del 15 al 19 de Dic" sheetId="35" r:id="rId2"/>
    <sheet name="Semana del 8 al 12 de Dic" sheetId="34" r:id="rId3"/>
    <sheet name="Semana del 1 al 5 de Dic" sheetId="33" r:id="rId4"/>
    <sheet name="Semana del 24 al 28 de Nov" sheetId="32" r:id="rId5"/>
    <sheet name="Semana del 17 al 21 de Nov" sheetId="31" r:id="rId6"/>
    <sheet name="Semana del 10 al 14 de Nov" sheetId="30" r:id="rId7"/>
    <sheet name="Semana del 3 al 7 de Nov" sheetId="29" r:id="rId8"/>
    <sheet name="Semana del 27 al 31 de Oct" sheetId="28" r:id="rId9"/>
    <sheet name="Semana del 20 al 24 de Oct" sheetId="27" r:id="rId10"/>
    <sheet name="Semana del 13 al 17 de Oct" sheetId="26" r:id="rId11"/>
    <sheet name="Semana del 6 al 10 de Oct" sheetId="25" r:id="rId12"/>
    <sheet name="Semana del 29Sep al 3 Oct" sheetId="24" r:id="rId13"/>
    <sheet name="Semana del 22 al 26 de Sept" sheetId="23" r:id="rId14"/>
    <sheet name="Semana 28 de Jul al 1 de Ago" sheetId="22" r:id="rId15"/>
    <sheet name="Semana 30 de Jun al 4 de Jul" sheetId="21" r:id="rId16"/>
    <sheet name="Semana 3 de Marzo al 4 de Abril" sheetId="20" r:id="rId17"/>
    <sheet name="Semana 24-28 de Febrero" sheetId="19" r:id="rId18"/>
    <sheet name="Semana 17-21 de Febrero" sheetId="18" r:id="rId19"/>
    <sheet name="Semana 10-14 de Febrero" sheetId="17" r:id="rId20"/>
    <sheet name="Semana 3-7 de Febrero" sheetId="16" r:id="rId21"/>
    <sheet name="Semana 27-31 Enero" sheetId="15" r:id="rId22"/>
    <sheet name="Semana 20-24 Enero" sheetId="14" r:id="rId23"/>
    <sheet name="Semana 13-17 Enero" sheetId="13" r:id="rId24"/>
    <sheet name="Informe 29 Abril-3 Mayo" sheetId="11" state="hidden" r:id="rId25"/>
    <sheet name="Semana 29 Abril-3 Mayo" sheetId="12" state="hidden" r:id="rId26"/>
    <sheet name="Informe Semana 22-26 Abril " sheetId="10" state="hidden" r:id="rId27"/>
    <sheet name="Semana 22-26 Abril " sheetId="9" state="hidden" r:id="rId28"/>
    <sheet name="Informe Semana 15-19 Abril" sheetId="8" state="hidden" r:id="rId29"/>
    <sheet name="Semana 15-19 Abril" sheetId="7" state="hidden" r:id="rId30"/>
    <sheet name="Informe Semana 8-12 Abril (2)" sheetId="6" state="hidden" r:id="rId31"/>
    <sheet name="Semana 8-12 Abril" sheetId="4" state="hidden" r:id="rId32"/>
    <sheet name="Semana 25-28 Marzo" sheetId="1" state="hidden" r:id="rId33"/>
    <sheet name="InformeSemana 25-28 Marzo" sheetId="3" state="hidden" r:id="rId34"/>
    <sheet name="InformeActSemana 1-5 Abril" sheetId="2" state="hidden" r:id="rId35"/>
  </sheets>
  <externalReferences>
    <externalReference r:id="rId36"/>
  </externalReferences>
  <definedNames>
    <definedName name="Estado">[1]Catálogos!$E$3:$E$32</definedName>
    <definedName name="Institucion">[1]Catálogos!$D$3:$D$32</definedName>
    <definedName name="Responsable">[1]Catálogos!$F$3:$F$32</definedName>
    <definedName name="SistemaServicio">[1]Catálogos!$C$3:$C$32</definedName>
    <definedName name="TipoActividad">[1]Catálogos!$B$3:$B$32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9" l="1"/>
  <c r="E9" i="19"/>
  <c r="E8" i="19"/>
  <c r="E7" i="19"/>
  <c r="E10" i="18"/>
  <c r="E9" i="18"/>
  <c r="E8" i="18"/>
  <c r="E7" i="18"/>
  <c r="E6" i="18"/>
  <c r="E10" i="17"/>
  <c r="E9" i="17"/>
  <c r="E8" i="17"/>
  <c r="E7" i="17"/>
  <c r="E6" i="17"/>
  <c r="E10" i="16"/>
  <c r="E9" i="16"/>
  <c r="E8" i="16"/>
  <c r="E7" i="16"/>
  <c r="E6" i="16"/>
  <c r="E8" i="15"/>
  <c r="E10" i="15"/>
  <c r="E9" i="15"/>
  <c r="E7" i="15"/>
  <c r="E6" i="15"/>
  <c r="E10" i="14"/>
  <c r="E9" i="14"/>
  <c r="E8" i="14"/>
  <c r="E7" i="14"/>
  <c r="E6" i="14"/>
  <c r="E10" i="13"/>
  <c r="E9" i="13"/>
  <c r="E8" i="13"/>
  <c r="E7" i="13"/>
  <c r="E6" i="13"/>
  <c r="F10" i="12"/>
  <c r="F9" i="12"/>
  <c r="F8" i="12"/>
  <c r="F7" i="12"/>
  <c r="F6" i="12"/>
  <c r="F10" i="11"/>
  <c r="F9" i="11"/>
  <c r="F8" i="11"/>
  <c r="F7" i="11"/>
  <c r="F6" i="11"/>
  <c r="F10" i="10"/>
  <c r="F9" i="10"/>
  <c r="F8" i="10"/>
  <c r="F7" i="10"/>
  <c r="F6" i="10"/>
  <c r="F10" i="9"/>
  <c r="F9" i="9"/>
  <c r="F8" i="9"/>
  <c r="F7" i="9"/>
  <c r="F6" i="9"/>
  <c r="F6" i="8"/>
  <c r="F10" i="8"/>
  <c r="F9" i="8"/>
  <c r="F8" i="8"/>
  <c r="F7" i="8"/>
  <c r="F10" i="7"/>
  <c r="F9" i="7"/>
  <c r="F8" i="7"/>
  <c r="F7" i="7"/>
  <c r="F6" i="7"/>
  <c r="F10" i="6"/>
  <c r="F9" i="6"/>
  <c r="F8" i="6"/>
  <c r="F7" i="6"/>
  <c r="F6" i="6"/>
  <c r="F10" i="4"/>
  <c r="F9" i="4"/>
  <c r="F8" i="4"/>
  <c r="F7" i="4"/>
  <c r="F6" i="4"/>
</calcChain>
</file>

<file path=xl/sharedStrings.xml><?xml version="1.0" encoding="utf-8"?>
<sst xmlns="http://schemas.openxmlformats.org/spreadsheetml/2006/main" count="970" uniqueCount="203">
  <si>
    <t>Planificación Semanal</t>
  </si>
  <si>
    <t>Número</t>
  </si>
  <si>
    <t>Descripción Actividad</t>
  </si>
  <si>
    <t>Porcentaje Avance</t>
  </si>
  <si>
    <t>Fecha Fin</t>
  </si>
  <si>
    <t>Observaciones</t>
  </si>
  <si>
    <t>Obstáculos</t>
  </si>
  <si>
    <t>Nombre:</t>
  </si>
  <si>
    <t>Fechas:</t>
  </si>
  <si>
    <t>Norma Arcos, Msc</t>
  </si>
  <si>
    <t>Fecha de Inicio</t>
  </si>
  <si>
    <t>Demo Sistema Provincial Integral para la gestión de los Gobiernos Autónomos Descentralizados Provinciales</t>
  </si>
  <si>
    <t>Implementación del Reposito para el Sistema Provincial Integral para la gestión de los Gobiernos Autónomos Descentralizados Provinciales</t>
  </si>
  <si>
    <t>Implementacion CRUD Demo Empresa Create
Creación de procedimientos y vistas</t>
  </si>
  <si>
    <t>Implementacion CRUD Demo Empresa Retrieve
Creación de procedimientos y vistas
Migracion en Front</t>
  </si>
  <si>
    <t>Implementacion CRUD Demo Empresa Update 
Creación de procedimientos y vistas
Migracion en Front</t>
  </si>
  <si>
    <t>Implementacion CRUD Demo Empresa Delete
Creación de procedimientos y vistas
Migracion en Front</t>
  </si>
  <si>
    <t>Detalle Actividad</t>
  </si>
  <si>
    <t>25 Mar 2024-  28 Mar 2024</t>
  </si>
  <si>
    <t>Documento de  Situación Actual y Propuesta de Proyecto</t>
  </si>
  <si>
    <t>Manual para clonación del proyecto en Git</t>
  </si>
  <si>
    <t>Formatos de Actividades del Proyecto</t>
  </si>
  <si>
    <t>Historias de Usuario, Actas de Reunión, Manuales</t>
  </si>
  <si>
    <t>Formato para Métodos Funciones Procedimientos</t>
  </si>
  <si>
    <t>Clonación repositorio Front y por consola</t>
  </si>
  <si>
    <t>Distribución por directorios</t>
  </si>
  <si>
    <t>Manual de Uso de Git para Creacion de Repositorio y ramas</t>
  </si>
  <si>
    <t>01 al 05 Abril 2024</t>
  </si>
  <si>
    <t>Descripción Tecnología usada y a usar</t>
  </si>
  <si>
    <t>Documento de Estándar de Programación</t>
  </si>
  <si>
    <t>Informe Actividades</t>
  </si>
  <si>
    <t>Se requiere formalizar la priorización para empezar una funcionalidad</t>
  </si>
  <si>
    <t>Se realizó también Explicación Perfiles Scrum y asignación de roles </t>
  </si>
  <si>
    <t>Se realizó también Explicación de uso de git y arquitectura </t>
  </si>
  <si>
    <t>Se realizó un estimado de Planificación de las pantallas para el módulo de Inventarios.</t>
  </si>
  <si>
    <t>Se realizó Distribución de pantallas entre los desarrolladores</t>
  </si>
  <si>
    <t>Se realizó el Informe de Revisión de Sprint y Estado del Proyecto donde se describe la situacion actual y propuesta para el proyecto</t>
  </si>
  <si>
    <t>08 al 12 Abril 2024</t>
  </si>
  <si>
    <t>Procedimientos almacenados</t>
  </si>
  <si>
    <t xml:space="preserve"> Api-rest CRUD</t>
  </si>
  <si>
    <t>Modulo Presupuesto-Estructura Partida Gastos- Back</t>
  </si>
  <si>
    <t>Modulo Presupuesto-Estructura Partida Ingresos -Back</t>
  </si>
  <si>
    <t>ModuloPresupesto-Tipos Comprobantes-Back</t>
  </si>
  <si>
    <t>Se realiza modulo de Inventario -Estructura de Código</t>
  </si>
  <si>
    <t>Se realiza modulo de Inventario - Tipos de Comprobantes</t>
  </si>
  <si>
    <t>Por parte de la dirección de tecnología se dio prioridad al módulo de tesorería</t>
  </si>
  <si>
    <t>Designado del área de tesorería  para revisar la funcionalidad</t>
  </si>
  <si>
    <t>Tesoreria-Estructura Plan de Cuentas</t>
  </si>
  <si>
    <t>Tesoreria-Plan de Cuentas</t>
  </si>
  <si>
    <t>Tesoreria- Plan de Cuentas</t>
  </si>
  <si>
    <t xml:space="preserve"> Api-rest CRUD. Ya  no se dio prioridad a Modulo Presupuesto-Estructura Partida Ingresos -Back-Procedimientos almacenados</t>
  </si>
  <si>
    <t>Procedimientos almacenados y  Api-rest CRUD.Ya  no se dio prioridad a Modulo Presupuesto-Estructura Partida Gastos- Back- Api-rest CRUD</t>
  </si>
  <si>
    <t>Procedimientos Almacenados. Ya  no se dio prioridad a  ModuloPresupesto-Tipos Comprobantes-Back-Api-rest CRUD</t>
  </si>
  <si>
    <t>Historias de Usuario, Actas de Reunión, Manuales Clonaciòn de Proyecto</t>
  </si>
  <si>
    <t>Tesoreria-Estructura Plan de Cuentas -Detalle y Modificación de Cuentas</t>
  </si>
  <si>
    <t>Tesoreria-Estructura Plan de Cuentas -Creación de Cuentas</t>
  </si>
  <si>
    <t>Historias de Usuario, Actas de Reunión, Seguimiento y soporte</t>
  </si>
  <si>
    <t>Tesoreria-Estructura Plan de Cuentas -Búsquedas por Cuenta</t>
  </si>
  <si>
    <t>15 al 19 Abril 2024</t>
  </si>
  <si>
    <t>Informe Semanal</t>
  </si>
  <si>
    <t>No se laboró</t>
  </si>
  <si>
    <t>Tesoreria-Estructura Plan de Cuentas -Creación de Cuentas Masivo</t>
  </si>
  <si>
    <t>Falta designación del área de tesorería  para revisar la funcionalidad</t>
  </si>
  <si>
    <t>22 al 26 Abril 2024</t>
  </si>
  <si>
    <t>15 al 17 Abril 2024</t>
  </si>
  <si>
    <t>Tesoreria-Estructura Plan de Cuentas -Busqueda de Cuentas</t>
  </si>
  <si>
    <t>Tesoreria-Estructura Plan de Cuentas -Búsqueda de Cuentas</t>
  </si>
  <si>
    <t>Formatos de Actividades del Proyecto, Seguimiento</t>
  </si>
  <si>
    <t>Tesoreria-Estructura Plan de Cuentas -Saldos por Período</t>
  </si>
  <si>
    <t>Tesoreria-Estructura Plan de Cuentas -Inactivación Plan Cuentas</t>
  </si>
  <si>
    <t xml:space="preserve"> Procedimientos y Api-rest CRUD</t>
  </si>
  <si>
    <t>29 Abril al 3 de Mayo 2024</t>
  </si>
  <si>
    <t>Norma Arcos, Msc.</t>
  </si>
  <si>
    <t>Se asistió a induccion Presupuesto, Contabilidad y Tesorería</t>
  </si>
  <si>
    <t>No se labora</t>
  </si>
  <si>
    <t>13 al 17 de Enero 2025</t>
  </si>
  <si>
    <t>Proceso Argis</t>
  </si>
  <si>
    <t>Porcentaje de Avance</t>
  </si>
  <si>
    <t>Documentacion Desarrollos Lenin</t>
  </si>
  <si>
    <t>Reunion para agendar reunion con Katia Fustillos y Analisis de Cambio(Se espera reunion al lunes)</t>
  </si>
  <si>
    <t>Informe de Necesidad, Especificaciones Tecnicas, Etudio de Mercado(enrevision prov)</t>
  </si>
  <si>
    <t>Informe de Necesidad, Especificaciones Tecnicas, Etudio de Mercado(enrevision prov)Correcciones Proveedor y Marisol</t>
  </si>
  <si>
    <t>Certificaciones sin afectacion</t>
  </si>
  <si>
    <t>Desarrollo Certificaciones sin afectacion</t>
  </si>
  <si>
    <t>Espera revision de Marisol</t>
  </si>
  <si>
    <t>Informe de Necesidad, Especificaciones Tecnicas, Estudio de Mercado(enrevision prov)</t>
  </si>
  <si>
    <t>Revision de Funcionalidad Presupuesto&gt;Catalogos&gt;Partidas de Gasto</t>
  </si>
  <si>
    <t>Desarrollo Certificaciones sin afectacion,Solicitud Pago</t>
  </si>
  <si>
    <t xml:space="preserve">Listado, Edicion, esta en Jeeny Carrillo </t>
  </si>
  <si>
    <t>Ver unidad de Gestion  para validar lo que debe ir en ese campo, se va arevisar el codigo de GPRD para ver como esta la consulta que hace GPRd xq GPRD alimenta el campo faltante</t>
  </si>
  <si>
    <t>Revisión de Unidad  de Gestion en GPRD</t>
  </si>
  <si>
    <t>bajarse la OVA</t>
  </si>
  <si>
    <t>Pendiente Ediso Carate, esta en stand bye por problemas de partidas en financiero</t>
  </si>
  <si>
    <t>20 al 24 de Enero 2025</t>
  </si>
  <si>
    <t>27 al 31 de Enero 2025</t>
  </si>
  <si>
    <t>imagen iso de centos einstalar mysql</t>
  </si>
  <si>
    <t xml:space="preserve">Configuracion de la bdd y mysql instalacion php </t>
  </si>
  <si>
    <t>Problemas con el login, Aprendiendo Laravel</t>
  </si>
  <si>
    <t>Vista prevoa de la proforma</t>
  </si>
  <si>
    <t>No se puede avanzar por problema credenciales sercop se solucionara como fecha tentativa 5 de feb</t>
  </si>
  <si>
    <t>3 al 7 de Febrero 2025</t>
  </si>
  <si>
    <t>TDR,Estudio de Mercado,Solicitud PAC y CATE</t>
  </si>
  <si>
    <t xml:space="preserve">Listado de Proyectos </t>
  </si>
  <si>
    <t>Error en listado de proyectos</t>
  </si>
  <si>
    <t>10 al 14 de Febrero 2025</t>
  </si>
  <si>
    <t>17 al 21 de Febrero 2025</t>
  </si>
  <si>
    <t>gprD</t>
  </si>
  <si>
    <t>condicion para que se vean proyectos</t>
  </si>
  <si>
    <t>Reporte Financiero</t>
  </si>
  <si>
    <t>24 al 28 de Febrero 2025</t>
  </si>
  <si>
    <t>Se suspensio el proceso por decision de Directora de tecnologia hay correo</t>
  </si>
  <si>
    <t xml:space="preserve">Reporte Financiero -Proyectos de Inversion </t>
  </si>
  <si>
    <t>Presupuesto por direccion</t>
  </si>
  <si>
    <t>Presupuesto por direccion - POA</t>
  </si>
  <si>
    <t>Reporte Financiero - tthh</t>
  </si>
  <si>
    <t>Reporte Financiero -Ejecucion Presupuestari</t>
  </si>
  <si>
    <t>Proyectos de Inversion</t>
  </si>
  <si>
    <t>Reporte de Proyectos de Inversion - Presupuesto por Grupo POA</t>
  </si>
  <si>
    <t>Reporte de Proyectos de Inversion - Presupuesto por Direccion</t>
  </si>
  <si>
    <t>Reporte de Proyectos de Inversion - Resumen</t>
  </si>
  <si>
    <t>Reporte de Ejecución Presupestaria por Programas</t>
  </si>
  <si>
    <t xml:space="preserve">Reporte de Ejecución Presupestaria por Grupo y Naturaleza
</t>
  </si>
  <si>
    <t>Back, Front</t>
  </si>
  <si>
    <t>3 de Marzo al 4 de Abril 2025</t>
  </si>
  <si>
    <t>30 de Junio al 4 de Julio 2025</t>
  </si>
  <si>
    <t xml:space="preserve">Estabilizacio SFGProvWeb
</t>
  </si>
  <si>
    <t>Saldos de las partidas para el detalle de las certificaciones</t>
  </si>
  <si>
    <t>Detalle de Partidas</t>
  </si>
  <si>
    <t>Análisis Avance presupuestario</t>
  </si>
  <si>
    <t xml:space="preserve">Encuesta para sondeo de Gobiernos Provinciales
</t>
  </si>
  <si>
    <t xml:space="preserve">Pendiente curso siberhigiene, gprd2, migracion, api, poner las servicios </t>
  </si>
  <si>
    <t>que tenga gprd y no sgprov</t>
  </si>
  <si>
    <t>migrar el modulo vial a la nube</t>
  </si>
  <si>
    <t>28 de Julio al 4 de Ago 2025</t>
  </si>
  <si>
    <t>Actualización del Directorio Telefónico de Tics</t>
  </si>
  <si>
    <t>Ver que este bien el sistema web, Si existe un rol basico de usuario cuando se ata al active directory para que vea reportes</t>
  </si>
  <si>
    <t>No.</t>
  </si>
  <si>
    <t>Fecha</t>
  </si>
  <si>
    <t>Responsable</t>
  </si>
  <si>
    <t>Tipo Actividad</t>
  </si>
  <si>
    <t>Actividad Realizada</t>
  </si>
  <si>
    <t>Sistema / Servicio</t>
  </si>
  <si>
    <t>Institución</t>
  </si>
  <si>
    <t>Estado</t>
  </si>
  <si>
    <t>Observación</t>
  </si>
  <si>
    <t>Norma Arcos</t>
  </si>
  <si>
    <t>Desarrollo</t>
  </si>
  <si>
    <t>GPRD2 Reporteria Seguimiento, Presupuestario</t>
  </si>
  <si>
    <t>GPRD2</t>
  </si>
  <si>
    <t>CONGOPE</t>
  </si>
  <si>
    <t>GPRD2 Reporteria Fecha de Revision de Avance</t>
  </si>
  <si>
    <t>GPRD2 Reporteria Filtrado de Seguimiento Presupuestario</t>
  </si>
  <si>
    <t>GPRD2 Reporteria Cédula Presupuestaria</t>
  </si>
  <si>
    <t>GPRD2 Revisión de Reportes</t>
  </si>
  <si>
    <t>Talento Humano</t>
  </si>
  <si>
    <t>Talento Humano - Historias de Usuario</t>
  </si>
  <si>
    <t>Talento Humano - Permiso por Horas-Levantar el ambiente local</t>
  </si>
  <si>
    <t>Talento Humano - Permiso por Horas,No se accede al formulario</t>
  </si>
  <si>
    <t>Feriado</t>
  </si>
  <si>
    <t>Talento Humano - Generacion de Permiso por horas</t>
  </si>
  <si>
    <t>Talento Humano -Ubicación de la firma</t>
  </si>
  <si>
    <t>Talento Humano - Revision del Sistema</t>
  </si>
  <si>
    <t>Talento Humano - Revision del Sistema Inicio de Documentacion de funcionalidades desarrolladas</t>
  </si>
  <si>
    <t>Talento Humano - Revision del Sistema Subrogación</t>
  </si>
  <si>
    <t>Talento Humano - Subrogación base de datos</t>
  </si>
  <si>
    <t>Talento Humano -Incluir subrogacion en memorando</t>
  </si>
  <si>
    <t>Talento Humano -Incluir subrogacion en memorando -Lista Desplegable y guardado en base de datos</t>
  </si>
  <si>
    <t>Seminario web: Desafíos y retos en la implementación del Esquema Gubernamental de Seguridad de la Información - EGSIv3</t>
  </si>
  <si>
    <t>Talento Humano -Metodo Get para Incluir subrogacion en memorando</t>
  </si>
  <si>
    <t>Talento Humano - Funcionalidad Subrogación subida a Testing</t>
  </si>
  <si>
    <t>Reuniones para revisar acciones para GPRD2</t>
  </si>
  <si>
    <t>Reunión</t>
  </si>
  <si>
    <t>GPRD2-Subir cambios a Git</t>
  </si>
  <si>
    <t>Pruebas de Solicitudes de Viáticos</t>
  </si>
  <si>
    <t>Viáticos</t>
  </si>
  <si>
    <t>Nueva funcionalidad de Matriz de Reforma Proyecto</t>
  </si>
  <si>
    <t>Reunión con Secretaría General de la Administración Pública y Planificación</t>
  </si>
  <si>
    <t xml:space="preserve">Actas de Administrativo Talento Humano y GPRD2, Correcciones en Subrogacion  </t>
  </si>
  <si>
    <t>Documentación</t>
  </si>
  <si>
    <t>Matriz de Reforma POA</t>
  </si>
  <si>
    <t>Otros</t>
  </si>
  <si>
    <t>Talento Humano - Funcionalidad SubrogaciónDocumento</t>
  </si>
  <si>
    <t>GPRD Formulario Certificación</t>
  </si>
  <si>
    <t>GPRD PAC</t>
  </si>
  <si>
    <t>GPRD3</t>
  </si>
  <si>
    <t>Estabilizacion GPRD2</t>
  </si>
  <si>
    <t>Actualizacion Hoja de Vida Correccion error estado gprd el oro</t>
  </si>
  <si>
    <t xml:space="preserve"> Correccion error estado gprd el oro</t>
  </si>
  <si>
    <t>Reforma POA</t>
  </si>
  <si>
    <t>Documentacion</t>
  </si>
  <si>
    <t xml:space="preserve">Ejecución presupuestaria y solicitud de reforma presupuestaria en disminución, Correccion de fecha de retorno en autorizacion Permisos y Vacaciones
</t>
  </si>
  <si>
    <t>Revision de registros por el año en gprd, Reforma Presupuestaria POA para Planificacion</t>
  </si>
  <si>
    <t>Reforma Presupuestaria POA para Planificacion</t>
  </si>
  <si>
    <t xml:space="preserve">Estabilizacion GPRD
</t>
  </si>
  <si>
    <t xml:space="preserve">Estabilizacion de Ambiente Local de GPRDV2
</t>
  </si>
  <si>
    <t xml:space="preserve">FORMULARIO DE CERTIFICACIÓN DE ACTIVIDAD 
AL PLAN OPERATIVO ANUAL-POA </t>
  </si>
  <si>
    <t>FERIADO</t>
  </si>
  <si>
    <t>NO APLICA</t>
  </si>
  <si>
    <t>Curso Agile Scrum</t>
  </si>
  <si>
    <t xml:space="preserve">FORMULARIO DE CERTIFICACIÓN DE ACTIVIDAD 
AL PLAN OPERATIVO ANUAL-POA(Item en el menú) </t>
  </si>
  <si>
    <t>NA</t>
  </si>
  <si>
    <t>Estabilizacion GPRD2 testing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</si>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</sst>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sz val="11"/>
      <color theme="1"/>
      <name val="Aptos Narrow"/>
      <family val="2"/>
      <scheme val="minor"/>
    </font>
    <font>
      <u/>
      <sz val="10"/>
      <color theme="1"/>
      <name val="Aptos Narrow"/>
      <family val="2"/>
      <scheme val="minor"/>
    </font>
    <font>
      <sz val="11"/>
      <color rgb="FF000000"/>
      <name val="Calibri"/>
      <family val="2"/>
    </font>
    <font>
      <sz val="8"/>
      <name val="Aptos Narrow"/>
      <family val="2"/>
      <scheme val="minor"/>
    </font>
  </fonts>
  <fills count="3">
    <fill>
      <patternFill patternType="none"/>
    </fill>
    <fill>
      <patternFill patternType="gray125"/>
    </fill>
    <fill>
      <patternFill patternType="solid">
        <fgColor theme="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2" fillId="2" borderId="0" applyNumberFormat="0" applyBorder="0" applyAlignment="0" applyProtection="0"/>
    <xf numFmtId="9" fontId="4" fillId="0" borderId="0" applyFont="0" applyFill="0" applyBorder="0" applyAlignment="0" applyProtection="0"/>
  </cellStyleXfs>
  <cellXfs count="37">
    <xf numFmtId="0" fontId="0" fillId="0" borderId="0" xfId="0"/>
    <xf numFmtId="0" fontId="0" fillId="0" borderId="0" xfId="0" applyAlignment="1">
      <alignment horizontal="center"/>
    </xf>
    <xf numFmtId="0" fontId="1" fillId="0" borderId="0" xfId="0" applyFont="1" applyAlignment="1">
      <alignment horizontal="center"/>
    </xf>
    <xf numFmtId="0" fontId="2" fillId="2" borderId="0" xfId="1"/>
    <xf numFmtId="0" fontId="1" fillId="0" borderId="0" xfId="0" applyFont="1" applyAlignment="1">
      <alignment horizontal="left"/>
    </xf>
    <xf numFmtId="0" fontId="3" fillId="0" borderId="1" xfId="0" applyFont="1" applyBorder="1"/>
    <xf numFmtId="14" fontId="3" fillId="0" borderId="1" xfId="0" applyNumberFormat="1" applyFont="1" applyBorder="1"/>
    <xf numFmtId="0" fontId="3" fillId="0" borderId="1" xfId="0" applyFont="1" applyBorder="1" applyAlignment="1">
      <alignment vertical="center" wrapText="1"/>
    </xf>
    <xf numFmtId="0" fontId="0" fillId="0" borderId="1" xfId="0" applyBorder="1"/>
    <xf numFmtId="0" fontId="0" fillId="0" borderId="0" xfId="0" applyAlignment="1">
      <alignment wrapText="1"/>
    </xf>
    <xf numFmtId="0" fontId="0" fillId="0" borderId="1" xfId="0" applyBorder="1" applyAlignment="1">
      <alignment wrapText="1"/>
    </xf>
    <xf numFmtId="0" fontId="3" fillId="0" borderId="1" xfId="0" applyFont="1" applyBorder="1" applyAlignment="1">
      <alignment vertical="center"/>
    </xf>
    <xf numFmtId="0" fontId="0" fillId="0" borderId="1" xfId="0" applyBorder="1" applyAlignment="1">
      <alignment vertical="center"/>
    </xf>
    <xf numFmtId="9" fontId="3" fillId="0" borderId="1" xfId="0" applyNumberFormat="1" applyFont="1" applyBorder="1"/>
    <xf numFmtId="0" fontId="3" fillId="0" borderId="1" xfId="0" applyFont="1" applyBorder="1" applyAlignment="1">
      <alignment wrapText="1"/>
    </xf>
    <xf numFmtId="0" fontId="2" fillId="2" borderId="0" xfId="1" applyAlignment="1">
      <alignment wrapText="1"/>
    </xf>
    <xf numFmtId="9" fontId="3" fillId="0" borderId="1" xfId="2" applyFont="1" applyBorder="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14" fontId="3" fillId="0" borderId="1" xfId="0" applyNumberFormat="1" applyFont="1" applyBorder="1" applyAlignment="1">
      <alignment horizontal="center"/>
    </xf>
    <xf numFmtId="9" fontId="3" fillId="0" borderId="1" xfId="0" applyNumberFormat="1" applyFont="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wrapText="1"/>
    </xf>
    <xf numFmtId="9" fontId="3" fillId="0" borderId="1" xfId="2" applyFont="1" applyBorder="1" applyAlignment="1">
      <alignment horizontal="center"/>
    </xf>
    <xf numFmtId="0" fontId="0" fillId="0" borderId="1" xfId="0" applyBorder="1" applyAlignment="1">
      <alignment horizontal="center"/>
    </xf>
    <xf numFmtId="9" fontId="0" fillId="0" borderId="1" xfId="0" applyNumberFormat="1" applyBorder="1"/>
    <xf numFmtId="0" fontId="5"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1" fillId="0" borderId="1" xfId="0" applyFont="1" applyBorder="1" applyAlignment="1">
      <alignment horizontal="center" vertical="center"/>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0" xfId="0" applyFont="1" applyAlignment="1">
      <alignment horizontal="center"/>
    </xf>
  </cellXfs>
  <cellStyles count="3">
    <cellStyle name="Énfasis1" xfId="1" builtinId="29"/>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Archivos\Planificacion\Matriz%20Actividades%20TICs%20-Semana%20del%2022%20al%2026%20de%20septiembre.xlsx" TargetMode="External"/><Relationship Id="rId1" Type="http://schemas.openxmlformats.org/officeDocument/2006/relationships/externalLinkPath" Target="Matriz%20Actividades%20TICs%20-Semana%20del%2022%20al%2026%20de%20sept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gistro Actividades"/>
      <sheetName val="Catálogos"/>
    </sheetNames>
    <sheetDataSet>
      <sheetData sheetId="0"/>
      <sheetData sheetId="1">
        <row r="3">
          <cell r="B3" t="str">
            <v>Desarrollo</v>
          </cell>
          <cell r="C3" t="str">
            <v>Sistema Viáticos</v>
          </cell>
          <cell r="D3" t="str">
            <v>CONGOPE</v>
          </cell>
          <cell r="E3" t="str">
            <v>En Proceso</v>
          </cell>
          <cell r="F3" t="str">
            <v>Lenin Illapa</v>
          </cell>
        </row>
        <row r="4">
          <cell r="B4" t="str">
            <v>Soporte</v>
          </cell>
          <cell r="C4" t="str">
            <v>Quipux</v>
          </cell>
          <cell r="D4" t="str">
            <v>Prefectura Carchi</v>
          </cell>
          <cell r="E4" t="str">
            <v>Terminado</v>
          </cell>
          <cell r="F4" t="str">
            <v>Xavier Ortiz</v>
          </cell>
        </row>
        <row r="5">
          <cell r="B5" t="str">
            <v>Infraestructura</v>
          </cell>
          <cell r="C5" t="str">
            <v>FirmaEC</v>
          </cell>
          <cell r="D5" t="str">
            <v>Prefectura El Oro</v>
          </cell>
          <cell r="E5" t="str">
            <v>Pendiente</v>
          </cell>
          <cell r="F5" t="str">
            <v>Wiliam Salazar</v>
          </cell>
        </row>
        <row r="6">
          <cell r="B6" t="str">
            <v>Helpdesk</v>
          </cell>
          <cell r="C6" t="str">
            <v>SFGProv</v>
          </cell>
          <cell r="D6" t="str">
            <v>Prefectura Esmeraldas</v>
          </cell>
          <cell r="E6" t="str">
            <v>Cancelado</v>
          </cell>
          <cell r="F6" t="str">
            <v>Norma Arcos</v>
          </cell>
        </row>
        <row r="7">
          <cell r="B7" t="str">
            <v>Capacitación</v>
          </cell>
          <cell r="C7" t="str">
            <v>IAAS</v>
          </cell>
          <cell r="D7" t="str">
            <v>Otro</v>
          </cell>
          <cell r="F7" t="str">
            <v>Javier Chillogallo</v>
          </cell>
        </row>
        <row r="8">
          <cell r="B8" t="str">
            <v>Reunión</v>
          </cell>
          <cell r="C8" t="str">
            <v>Red</v>
          </cell>
          <cell r="F8" t="str">
            <v>Diana Pozo</v>
          </cell>
        </row>
        <row r="9">
          <cell r="B9" t="str">
            <v>Documentación</v>
          </cell>
          <cell r="C9" t="str">
            <v>Contratación Pública</v>
          </cell>
          <cell r="F9" t="str">
            <v>Renán Guerrero</v>
          </cell>
        </row>
        <row r="10">
          <cell r="C10" t="str">
            <v>Impresoras</v>
          </cell>
        </row>
        <row r="11">
          <cell r="C11" t="str">
            <v>GPRD2</v>
          </cell>
        </row>
        <row r="12">
          <cell r="C12" t="str">
            <v>Planificación</v>
          </cell>
        </row>
        <row r="13">
          <cell r="C13" t="str">
            <v>No aplica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F3016-3F11-4C50-B839-0399504CA3B1}">
  <dimension ref="A1:H10"/>
  <sheetViews>
    <sheetView workbookViewId="0">
      <selection activeCell="B7" sqref="B7"/>
    </sheetView>
  </sheetViews>
  <sheetFormatPr baseColWidth="10" defaultRowHeight="15" x14ac:dyDescent="0.25"/>
  <cols>
    <col min="2" max="2" width="21.7109375" customWidth="1"/>
    <col min="3" max="3" width="29.28515625" customWidth="1"/>
    <col min="4" max="4" width="13.7109375" bestFit="1" customWidth="1"/>
    <col min="5" max="5" width="17.28515625" bestFit="1" customWidth="1"/>
    <col min="7" max="7" width="14.140625" bestFit="1" customWidth="1"/>
  </cols>
  <sheetData>
    <row r="1" spans="1:8" x14ac:dyDescent="0.25">
      <c r="A1" s="36" t="s">
        <v>0</v>
      </c>
      <c r="B1" s="36"/>
      <c r="C1" s="36"/>
      <c r="D1" s="36"/>
      <c r="E1" s="36"/>
      <c r="F1" s="36"/>
      <c r="G1" s="36"/>
      <c r="H1" s="36"/>
    </row>
    <row r="2" spans="1:8" x14ac:dyDescent="0.25">
      <c r="A2" s="4" t="s">
        <v>7</v>
      </c>
      <c r="B2" s="1" t="s">
        <v>9</v>
      </c>
      <c r="C2" s="1"/>
      <c r="D2" s="2"/>
      <c r="E2" s="2"/>
      <c r="F2" s="2"/>
      <c r="G2" s="2"/>
      <c r="H2" s="2"/>
    </row>
    <row r="3" spans="1:8" x14ac:dyDescent="0.25">
      <c r="A3" s="4" t="s">
        <v>8</v>
      </c>
      <c r="B3" t="s">
        <v>27</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45.75" customHeight="1" x14ac:dyDescent="0.25">
      <c r="A6" s="11">
        <v>1</v>
      </c>
      <c r="B6" s="7" t="s">
        <v>19</v>
      </c>
      <c r="C6" s="7" t="s">
        <v>28</v>
      </c>
      <c r="D6" s="6">
        <v>45383</v>
      </c>
      <c r="E6" s="5">
        <v>0</v>
      </c>
      <c r="F6" s="6">
        <v>45383</v>
      </c>
      <c r="G6" s="5"/>
      <c r="H6" s="5"/>
    </row>
    <row r="7" spans="1:8" ht="44.25" customHeight="1" x14ac:dyDescent="0.25">
      <c r="A7" s="11">
        <v>2</v>
      </c>
      <c r="B7" s="7" t="s">
        <v>29</v>
      </c>
      <c r="C7" s="9" t="s">
        <v>23</v>
      </c>
      <c r="D7" s="6">
        <v>45384</v>
      </c>
      <c r="E7" s="5">
        <v>0</v>
      </c>
      <c r="F7" s="6">
        <v>45384</v>
      </c>
      <c r="G7" s="5"/>
      <c r="H7" s="5"/>
    </row>
    <row r="8" spans="1:8" ht="46.5" customHeight="1" x14ac:dyDescent="0.25">
      <c r="A8" s="11">
        <v>3</v>
      </c>
      <c r="B8" s="7" t="s">
        <v>26</v>
      </c>
      <c r="C8" s="10" t="s">
        <v>25</v>
      </c>
      <c r="D8" s="6">
        <v>45385</v>
      </c>
      <c r="E8" s="5">
        <v>0</v>
      </c>
      <c r="F8" s="6">
        <v>45385</v>
      </c>
      <c r="G8" s="5"/>
      <c r="H8" s="5"/>
    </row>
    <row r="9" spans="1:8" ht="27" x14ac:dyDescent="0.25">
      <c r="A9" s="11">
        <v>4</v>
      </c>
      <c r="B9" s="7" t="s">
        <v>20</v>
      </c>
      <c r="C9" s="7" t="s">
        <v>24</v>
      </c>
      <c r="D9" s="6">
        <v>45386</v>
      </c>
      <c r="E9" s="5">
        <v>0</v>
      </c>
      <c r="F9" s="6">
        <v>45386</v>
      </c>
      <c r="G9" s="5"/>
      <c r="H9" s="5"/>
    </row>
    <row r="10" spans="1:8" ht="45" x14ac:dyDescent="0.25">
      <c r="A10" s="12">
        <v>5</v>
      </c>
      <c r="B10" s="10" t="s">
        <v>21</v>
      </c>
      <c r="C10" s="10" t="s">
        <v>22</v>
      </c>
      <c r="D10" s="6">
        <v>45387</v>
      </c>
      <c r="E10" s="5">
        <v>0</v>
      </c>
      <c r="F10" s="6">
        <v>45387</v>
      </c>
      <c r="G10" s="8"/>
      <c r="H10" s="8"/>
    </row>
  </sheetData>
  <mergeCells count="1">
    <mergeCell ref="A1:H1"/>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F7D3-AF41-47BF-9F91-EE663CD9B105}">
  <dimension ref="A2:I42"/>
  <sheetViews>
    <sheetView zoomScale="60" zoomScaleNormal="60" workbookViewId="0">
      <selection activeCell="B3" sqref="B3:B7"/>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60" x14ac:dyDescent="0.25">
      <c r="A3" s="23">
        <v>1</v>
      </c>
      <c r="B3" s="32">
        <v>46006</v>
      </c>
      <c r="C3" s="33" t="s">
        <v>145</v>
      </c>
      <c r="D3" s="33" t="s">
        <v>146</v>
      </c>
      <c r="E3" s="33" t="s">
        <v>199</v>
      </c>
      <c r="F3" s="33" t="s">
        <v>148</v>
      </c>
      <c r="G3" s="33" t="s">
        <v>149</v>
      </c>
      <c r="H3" s="33"/>
      <c r="I3" s="33"/>
    </row>
    <row r="4" spans="1:9" ht="42.75" customHeight="1" x14ac:dyDescent="0.25">
      <c r="A4" s="23">
        <v>2</v>
      </c>
      <c r="B4" s="32">
        <v>46007</v>
      </c>
      <c r="C4" s="33" t="s">
        <v>145</v>
      </c>
      <c r="D4" s="33" t="s">
        <v>146</v>
      </c>
      <c r="E4" s="33" t="s">
        <v>195</v>
      </c>
      <c r="F4" s="33" t="s">
        <v>148</v>
      </c>
      <c r="G4" s="33" t="s">
        <v>149</v>
      </c>
      <c r="H4" s="33"/>
      <c r="I4" s="33"/>
    </row>
    <row r="5" spans="1:9" ht="45.75" customHeight="1" x14ac:dyDescent="0.25">
      <c r="A5" s="23">
        <v>3</v>
      </c>
      <c r="B5" s="32">
        <v>46008</v>
      </c>
      <c r="C5" s="33" t="s">
        <v>145</v>
      </c>
      <c r="D5" s="33" t="s">
        <v>146</v>
      </c>
      <c r="E5" s="33" t="s">
        <v>201</v>
      </c>
      <c r="F5" s="33" t="s">
        <v>148</v>
      </c>
      <c r="G5" s="33" t="s">
        <v>149</v>
      </c>
      <c r="H5" s="33"/>
      <c r="I5" s="34"/>
    </row>
    <row r="6" spans="1:9" ht="43.5" customHeight="1" x14ac:dyDescent="0.25">
      <c r="A6" s="23">
        <v>4</v>
      </c>
      <c r="B6" s="32">
        <v>46009</v>
      </c>
      <c r="C6" s="33" t="s">
        <v>145</v>
      </c>
      <c r="D6" s="33" t="s">
        <v>146</v>
      </c>
      <c r="E6" s="33" t="s">
        <v>201</v>
      </c>
      <c r="F6" s="33" t="s">
        <v>148</v>
      </c>
      <c r="G6" s="33" t="s">
        <v>149</v>
      </c>
      <c r="H6" s="33"/>
      <c r="I6" s="33"/>
    </row>
    <row r="7" spans="1:9" ht="45" x14ac:dyDescent="0.25">
      <c r="A7" s="23">
        <v>5</v>
      </c>
      <c r="B7" s="32">
        <v>46010</v>
      </c>
      <c r="C7" s="33" t="s">
        <v>145</v>
      </c>
      <c r="D7" s="33" t="s">
        <v>146</v>
      </c>
      <c r="E7" s="33" t="s">
        <v>195</v>
      </c>
      <c r="F7" s="33" t="s">
        <v>184</v>
      </c>
      <c r="G7" s="33" t="s">
        <v>149</v>
      </c>
      <c r="H7" s="33"/>
      <c r="I7" s="33"/>
    </row>
    <row r="8" spans="1:9" ht="35.25" customHeight="1" x14ac:dyDescent="0.25">
      <c r="A8" s="23"/>
      <c r="B8" s="32"/>
      <c r="C8" s="33"/>
      <c r="D8" s="23"/>
      <c r="E8" s="33"/>
      <c r="F8" s="23"/>
      <c r="G8" s="3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H3:H13 H16:H25 H28:H42" xr:uid="{C734170B-FDA7-4CEE-9181-A59EF3D06D47}">
      <formula1>Estado</formula1>
    </dataValidation>
    <dataValidation type="list" allowBlank="1" showInputMessage="1" showErrorMessage="1" sqref="G28:G42 G16:G25 G3:G13" xr:uid="{342FF511-4C09-46B8-A638-95D28B4AF445}">
      <formula1>Institucion</formula1>
    </dataValidation>
    <dataValidation type="list" allowBlank="1" showInputMessage="1" showErrorMessage="1" sqref="F28:F42 F16:F25 F3:F13" xr:uid="{0C406145-252D-42E8-AB86-F5C8A82BFC67}">
      <formula1>SistemaServicio</formula1>
    </dataValidation>
    <dataValidation type="list" allowBlank="1" showInputMessage="1" showErrorMessage="1" sqref="D11:D13 D28:D34 D24:D25 D16:D18 D20:D22 D36:D42 D3:D9" xr:uid="{BE5BF639-ED69-4FC6-82CD-BA04C61F70F4}">
      <formula1>TipoActividad</formula1>
    </dataValidation>
    <dataValidation type="list" allowBlank="1" showInputMessage="1" showErrorMessage="1" sqref="C11:C13 C24:C25 C28:C42 C16:C18 C20:C22 C3:C9" xr:uid="{D9A20B43-3E3D-45CA-9BF9-84637B79C8EC}">
      <formula1>Responsable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9552-9F70-4023-8DF0-B017502C8F96}">
  <dimension ref="A2:I42"/>
  <sheetViews>
    <sheetView topLeftCell="A3" zoomScale="48" zoomScaleNormal="80" workbookViewId="0">
      <selection activeCell="F6" sqref="F6:F7"/>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60" x14ac:dyDescent="0.25">
      <c r="A3" s="23">
        <v>1</v>
      </c>
      <c r="B3" s="32">
        <v>45999</v>
      </c>
      <c r="C3" s="33" t="s">
        <v>145</v>
      </c>
      <c r="D3" s="33" t="s">
        <v>146</v>
      </c>
      <c r="E3" s="33" t="s">
        <v>199</v>
      </c>
      <c r="F3" s="33" t="s">
        <v>148</v>
      </c>
      <c r="G3" s="33" t="s">
        <v>149</v>
      </c>
      <c r="H3" s="33"/>
      <c r="I3" s="33"/>
    </row>
    <row r="4" spans="1:9" ht="42.75" customHeight="1" x14ac:dyDescent="0.25">
      <c r="A4" s="23">
        <v>2</v>
      </c>
      <c r="B4" s="32">
        <v>46000</v>
      </c>
      <c r="C4" s="33" t="s">
        <v>145</v>
      </c>
      <c r="D4" s="33" t="s">
        <v>146</v>
      </c>
      <c r="E4" s="33" t="s">
        <v>195</v>
      </c>
      <c r="F4" s="33" t="s">
        <v>148</v>
      </c>
      <c r="G4" s="33" t="s">
        <v>149</v>
      </c>
      <c r="H4" s="33"/>
      <c r="I4" s="33"/>
    </row>
    <row r="5" spans="1:9" ht="45.75" customHeight="1" x14ac:dyDescent="0.25">
      <c r="A5" s="23">
        <v>3</v>
      </c>
      <c r="B5" s="32">
        <v>46001</v>
      </c>
      <c r="C5" s="33" t="s">
        <v>145</v>
      </c>
      <c r="D5" s="33" t="s">
        <v>146</v>
      </c>
      <c r="E5" s="33" t="s">
        <v>201</v>
      </c>
      <c r="F5" s="33" t="s">
        <v>148</v>
      </c>
      <c r="G5" s="33" t="s">
        <v>149</v>
      </c>
      <c r="H5" s="33"/>
      <c r="I5" s="34"/>
    </row>
    <row r="6" spans="1:9" ht="43.5" customHeight="1" x14ac:dyDescent="0.25">
      <c r="A6" s="23">
        <v>4</v>
      </c>
      <c r="B6" s="32">
        <v>46002</v>
      </c>
      <c r="C6" s="33" t="s">
        <v>145</v>
      </c>
      <c r="D6" s="33" t="s">
        <v>146</v>
      </c>
      <c r="E6" s="33" t="s">
        <v>201</v>
      </c>
      <c r="F6" s="33" t="s">
        <v>148</v>
      </c>
      <c r="G6" s="33" t="s">
        <v>149</v>
      </c>
      <c r="H6" s="33"/>
      <c r="I6" s="33"/>
    </row>
    <row r="7" spans="1:9" ht="45" x14ac:dyDescent="0.25">
      <c r="A7" s="23">
        <v>5</v>
      </c>
      <c r="B7" s="32">
        <v>46003</v>
      </c>
      <c r="C7" s="33" t="s">
        <v>145</v>
      </c>
      <c r="D7" s="33" t="s">
        <v>146</v>
      </c>
      <c r="E7" s="33" t="s">
        <v>195</v>
      </c>
      <c r="F7" s="33" t="s">
        <v>184</v>
      </c>
      <c r="G7" s="33" t="s">
        <v>149</v>
      </c>
      <c r="H7" s="33"/>
      <c r="I7" s="33"/>
    </row>
    <row r="8" spans="1:9" ht="35.25" customHeight="1" x14ac:dyDescent="0.25">
      <c r="A8" s="23"/>
      <c r="B8" s="32"/>
      <c r="C8" s="33"/>
      <c r="D8" s="23"/>
      <c r="E8" s="33"/>
      <c r="F8" s="23"/>
      <c r="G8" s="3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phoneticPr fontId="7" type="noConversion"/>
  <dataValidations count="5">
    <dataValidation type="list" allowBlank="1" showInputMessage="1" showErrorMessage="1" sqref="C11:C13 C24:C25 C28:C42 C16:C18 C20:C22 C3:C9" xr:uid="{0657E216-C96D-442F-B9D4-871CEBD9871B}">
      <formula1>Responsable</formula1>
    </dataValidation>
    <dataValidation type="list" allowBlank="1" showInputMessage="1" showErrorMessage="1" sqref="D11:D13 D28:D34 D24:D25 D16:D18 D20:D22 D36:D42 D3:D9" xr:uid="{707A2F17-4589-4FA3-BC73-E9FC672EA43B}">
      <formula1>TipoActividad</formula1>
    </dataValidation>
    <dataValidation type="list" allowBlank="1" showInputMessage="1" showErrorMessage="1" sqref="F28:F42 F16:F25 F3:F13" xr:uid="{5435DAAD-D92D-4697-9DA6-4CDDD84CD51E}">
      <formula1>SistemaServicio</formula1>
    </dataValidation>
    <dataValidation type="list" allowBlank="1" showInputMessage="1" showErrorMessage="1" sqref="G28:G42 G16:G25 G3:G13" xr:uid="{DFE083D3-1351-462A-BA93-05E5F70EB195}">
      <formula1>Institucion</formula1>
    </dataValidation>
    <dataValidation type="list" allowBlank="1" showInputMessage="1" showErrorMessage="1" sqref="H3:H13 H16:H25 H28:H42" xr:uid="{6F6EBE1A-3724-4794-8CBA-8A28C021C7FD}">
      <formula1>Estado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393B-F364-49B2-A449-95558FBAF4FB}">
  <dimension ref="A2:I42"/>
  <sheetViews>
    <sheetView zoomScale="64" zoomScaleNormal="80" workbookViewId="0">
      <selection activeCell="E3" sqref="E3"/>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45992</v>
      </c>
      <c r="C3" s="33" t="s">
        <v>145</v>
      </c>
      <c r="D3" s="33" t="s">
        <v>146</v>
      </c>
      <c r="E3" s="33" t="s">
        <v>195</v>
      </c>
      <c r="F3" s="33" t="s">
        <v>148</v>
      </c>
      <c r="G3" s="33" t="s">
        <v>149</v>
      </c>
      <c r="H3" s="33"/>
      <c r="I3" s="33"/>
    </row>
    <row r="4" spans="1:9" ht="42.75" customHeight="1" x14ac:dyDescent="0.25">
      <c r="A4" s="23">
        <v>2</v>
      </c>
      <c r="B4" s="32">
        <v>45993</v>
      </c>
      <c r="C4" s="33" t="s">
        <v>145</v>
      </c>
      <c r="D4" s="33" t="s">
        <v>146</v>
      </c>
      <c r="E4" s="33" t="s">
        <v>195</v>
      </c>
      <c r="F4" s="33" t="s">
        <v>148</v>
      </c>
      <c r="G4" s="33" t="s">
        <v>149</v>
      </c>
      <c r="H4" s="33"/>
      <c r="I4" s="33"/>
    </row>
    <row r="5" spans="1:9" ht="45.75" customHeight="1" x14ac:dyDescent="0.25">
      <c r="A5" s="23">
        <v>3</v>
      </c>
      <c r="B5" s="32">
        <v>45994</v>
      </c>
      <c r="C5" s="33" t="s">
        <v>145</v>
      </c>
      <c r="D5" s="33" t="s">
        <v>171</v>
      </c>
      <c r="E5" s="33" t="s">
        <v>198</v>
      </c>
      <c r="F5" s="33" t="s">
        <v>148</v>
      </c>
      <c r="G5" s="33" t="s">
        <v>149</v>
      </c>
      <c r="H5" s="33"/>
      <c r="I5" s="34"/>
    </row>
    <row r="6" spans="1:9" ht="43.5" customHeight="1" x14ac:dyDescent="0.25">
      <c r="A6" s="23">
        <v>4</v>
      </c>
      <c r="B6" s="32">
        <v>45995</v>
      </c>
      <c r="C6" s="33" t="s">
        <v>145</v>
      </c>
      <c r="D6" s="33" t="s">
        <v>171</v>
      </c>
      <c r="E6" s="33" t="s">
        <v>198</v>
      </c>
      <c r="F6" s="33" t="s">
        <v>148</v>
      </c>
      <c r="G6" s="33" t="s">
        <v>149</v>
      </c>
      <c r="H6" s="33"/>
      <c r="I6" s="33"/>
    </row>
    <row r="7" spans="1:9" x14ac:dyDescent="0.25">
      <c r="A7" s="23">
        <v>5</v>
      </c>
      <c r="B7" s="32">
        <v>45996</v>
      </c>
      <c r="C7" s="33" t="s">
        <v>145</v>
      </c>
      <c r="D7" s="33" t="s">
        <v>200</v>
      </c>
      <c r="E7" s="33" t="s">
        <v>196</v>
      </c>
      <c r="F7" s="33" t="s">
        <v>197</v>
      </c>
      <c r="G7" s="33" t="s">
        <v>149</v>
      </c>
      <c r="H7" s="33"/>
      <c r="I7" s="33"/>
    </row>
    <row r="8" spans="1:9" ht="35.25" customHeight="1" x14ac:dyDescent="0.25">
      <c r="A8" s="23"/>
      <c r="B8" s="32"/>
      <c r="C8" s="33"/>
      <c r="D8" s="23"/>
      <c r="E8" s="33"/>
      <c r="F8" s="23"/>
      <c r="G8" s="3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phoneticPr fontId="7" type="noConversion"/>
  <dataValidations count="5">
    <dataValidation type="list" allowBlank="1" showInputMessage="1" showErrorMessage="1" sqref="H3:H13 H16:H25 H28:H42" xr:uid="{22896A23-791E-4D27-B963-E9B9653D139F}">
      <formula1>Estado</formula1>
    </dataValidation>
    <dataValidation type="list" allowBlank="1" showInputMessage="1" showErrorMessage="1" sqref="G28:G42 G16:G25 G3:G13" xr:uid="{A4AE5DC2-ECF4-4C15-85DD-BC545C80B05F}">
      <formula1>Institucion</formula1>
    </dataValidation>
    <dataValidation type="list" allowBlank="1" showInputMessage="1" showErrorMessage="1" sqref="F28:F42 F16:F25 F3:F13" xr:uid="{5D83EB9C-2469-43FE-A529-35CD590BEE2B}">
      <formula1>SistemaServicio</formula1>
    </dataValidation>
    <dataValidation type="list" allowBlank="1" showInputMessage="1" showErrorMessage="1" sqref="D11:D13 D28:D34 D24:D25 D16:D18 D20:D22 D36:D42 D3:D9" xr:uid="{23AF34A1-7AB7-47E0-9BCC-D3FCE7425AA8}">
      <formula1>TipoActividad</formula1>
    </dataValidation>
    <dataValidation type="list" allowBlank="1" showInputMessage="1" showErrorMessage="1" sqref="C11:C13 C24:C25 C28:C42 C16:C18 C20:C22 C3:C9" xr:uid="{DB717D45-72FF-4454-A0FC-177ED22E7A8D}">
      <formula1>Responsable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239E-168B-4981-A370-2D52B4CB352D}">
  <dimension ref="A2:I42"/>
  <sheetViews>
    <sheetView zoomScale="64" zoomScaleNormal="80" workbookViewId="0">
      <selection activeCell="E4" sqref="E4"/>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45985</v>
      </c>
      <c r="C3" s="33" t="s">
        <v>145</v>
      </c>
      <c r="D3" s="33" t="s">
        <v>146</v>
      </c>
      <c r="E3" s="33" t="s">
        <v>190</v>
      </c>
      <c r="F3" s="33" t="s">
        <v>189</v>
      </c>
      <c r="G3" s="33" t="s">
        <v>149</v>
      </c>
      <c r="H3" s="33"/>
      <c r="I3" s="33"/>
    </row>
    <row r="4" spans="1:9" ht="42.75" customHeight="1" x14ac:dyDescent="0.25">
      <c r="A4" s="23">
        <v>2</v>
      </c>
      <c r="B4" s="32">
        <v>45986</v>
      </c>
      <c r="C4" s="33" t="s">
        <v>145</v>
      </c>
      <c r="D4" s="33" t="s">
        <v>146</v>
      </c>
      <c r="E4" s="33" t="s">
        <v>191</v>
      </c>
      <c r="F4" s="33" t="s">
        <v>154</v>
      </c>
      <c r="G4" s="33" t="s">
        <v>149</v>
      </c>
      <c r="H4" s="33"/>
      <c r="I4" s="33"/>
    </row>
    <row r="5" spans="1:9" ht="21" customHeight="1" x14ac:dyDescent="0.25">
      <c r="A5" s="23">
        <v>3</v>
      </c>
      <c r="B5" s="32">
        <v>45987</v>
      </c>
      <c r="C5" s="33" t="s">
        <v>145</v>
      </c>
      <c r="D5" s="33" t="s">
        <v>171</v>
      </c>
      <c r="E5" s="33" t="s">
        <v>193</v>
      </c>
      <c r="F5" s="33" t="s">
        <v>148</v>
      </c>
      <c r="G5" s="33" t="s">
        <v>149</v>
      </c>
      <c r="H5" s="33"/>
      <c r="I5" s="34"/>
    </row>
    <row r="6" spans="1:9" ht="43.5" customHeight="1" x14ac:dyDescent="0.25">
      <c r="A6" s="23">
        <v>4</v>
      </c>
      <c r="B6" s="32">
        <v>45988</v>
      </c>
      <c r="C6" s="33" t="s">
        <v>145</v>
      </c>
      <c r="D6" s="33" t="s">
        <v>171</v>
      </c>
      <c r="E6" s="33" t="s">
        <v>192</v>
      </c>
      <c r="F6" s="33" t="s">
        <v>148</v>
      </c>
      <c r="G6" s="33" t="s">
        <v>149</v>
      </c>
      <c r="H6" s="33"/>
      <c r="I6" s="33"/>
    </row>
    <row r="7" spans="1:9" ht="45" x14ac:dyDescent="0.25">
      <c r="A7" s="23">
        <v>5</v>
      </c>
      <c r="B7" s="32">
        <v>45989</v>
      </c>
      <c r="C7" s="33" t="s">
        <v>145</v>
      </c>
      <c r="D7" s="33" t="s">
        <v>146</v>
      </c>
      <c r="E7" s="33" t="s">
        <v>194</v>
      </c>
      <c r="F7" s="33" t="s">
        <v>184</v>
      </c>
      <c r="G7" s="33" t="s">
        <v>149</v>
      </c>
      <c r="H7" s="33"/>
      <c r="I7" s="33"/>
    </row>
    <row r="8" spans="1:9" ht="35.25" customHeight="1" x14ac:dyDescent="0.25">
      <c r="A8" s="23"/>
      <c r="B8" s="32"/>
      <c r="C8" s="33"/>
      <c r="D8" s="23"/>
      <c r="E8" s="33"/>
      <c r="F8" s="23"/>
      <c r="G8" s="3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C11:C13 C24:C25 C28:C42 C16:C18 C20:C22 C3:C9" xr:uid="{E998D45C-0510-4EED-BCFA-9D4391EACF19}">
      <formula1>Responsable</formula1>
    </dataValidation>
    <dataValidation type="list" allowBlank="1" showInputMessage="1" showErrorMessage="1" sqref="D11:D13 D28:D34 D24:D25 D16:D18 D20:D22 D36:D42 D3:D9" xr:uid="{EE90A22F-6121-4D5F-9F93-E4AE13ACAA8D}">
      <formula1>TipoActividad</formula1>
    </dataValidation>
    <dataValidation type="list" allowBlank="1" showInputMessage="1" showErrorMessage="1" sqref="F28:F42 F16:F25 F3:F13" xr:uid="{D35C743E-8480-43D0-B65B-676BA3545293}">
      <formula1>SistemaServicio</formula1>
    </dataValidation>
    <dataValidation type="list" allowBlank="1" showInputMessage="1" showErrorMessage="1" sqref="G28:G42 G16:G25 G3:G13" xr:uid="{B560B3A1-4A15-4F57-8280-C1C3F0A9F4AC}">
      <formula1>Institucion</formula1>
    </dataValidation>
    <dataValidation type="list" allowBlank="1" showInputMessage="1" showErrorMessage="1" sqref="H3:H13 H16:H25 H28:H42" xr:uid="{914C53F7-E1C0-4D07-8D8A-CE7B9C7738CA}">
      <formula1>Estado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E1D26-AE09-4806-95A7-C53E4D184190}">
  <dimension ref="A2:I42"/>
  <sheetViews>
    <sheetView zoomScale="64" zoomScaleNormal="80" workbookViewId="0">
      <selection activeCell="E5" sqref="E5"/>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45978</v>
      </c>
      <c r="C3" s="33" t="s">
        <v>145</v>
      </c>
      <c r="D3" s="33" t="s">
        <v>146</v>
      </c>
      <c r="E3" s="33" t="s">
        <v>185</v>
      </c>
      <c r="F3" s="33" t="s">
        <v>154</v>
      </c>
      <c r="G3" s="33" t="s">
        <v>149</v>
      </c>
      <c r="H3" s="33"/>
      <c r="I3" s="33"/>
    </row>
    <row r="4" spans="1:9" ht="42.75" customHeight="1" x14ac:dyDescent="0.25">
      <c r="A4" s="23">
        <v>2</v>
      </c>
      <c r="B4" s="32">
        <v>45979</v>
      </c>
      <c r="C4" s="33" t="s">
        <v>145</v>
      </c>
      <c r="D4" s="33" t="s">
        <v>146</v>
      </c>
      <c r="E4" s="33" t="s">
        <v>187</v>
      </c>
      <c r="F4" s="33" t="s">
        <v>154</v>
      </c>
      <c r="G4" s="33" t="s">
        <v>149</v>
      </c>
      <c r="H4" s="33"/>
      <c r="I4" s="33"/>
    </row>
    <row r="5" spans="1:9" ht="35.25" customHeight="1" x14ac:dyDescent="0.25">
      <c r="A5" s="23">
        <v>3</v>
      </c>
      <c r="B5" s="32">
        <v>45980</v>
      </c>
      <c r="C5" s="33" t="s">
        <v>145</v>
      </c>
      <c r="D5" s="33" t="s">
        <v>171</v>
      </c>
      <c r="E5" s="33" t="s">
        <v>186</v>
      </c>
      <c r="F5" s="33" t="s">
        <v>148</v>
      </c>
      <c r="G5" s="33" t="s">
        <v>149</v>
      </c>
      <c r="H5" s="33"/>
      <c r="I5" s="34"/>
    </row>
    <row r="6" spans="1:9" ht="43.5" customHeight="1" x14ac:dyDescent="0.25">
      <c r="A6" s="23">
        <v>4</v>
      </c>
      <c r="B6" s="32">
        <v>45981</v>
      </c>
      <c r="C6" s="33" t="s">
        <v>145</v>
      </c>
      <c r="D6" s="33" t="s">
        <v>171</v>
      </c>
      <c r="E6" s="33" t="s">
        <v>186</v>
      </c>
      <c r="F6" s="33" t="s">
        <v>148</v>
      </c>
      <c r="G6" s="33" t="s">
        <v>149</v>
      </c>
      <c r="H6" s="33"/>
      <c r="I6" s="33"/>
    </row>
    <row r="7" spans="1:9" x14ac:dyDescent="0.25">
      <c r="A7" s="23">
        <v>5</v>
      </c>
      <c r="B7" s="32">
        <v>45982</v>
      </c>
      <c r="C7" s="33" t="s">
        <v>145</v>
      </c>
      <c r="D7" s="33" t="s">
        <v>146</v>
      </c>
      <c r="E7" s="33" t="s">
        <v>188</v>
      </c>
      <c r="F7" s="33" t="s">
        <v>184</v>
      </c>
      <c r="G7" s="33" t="s">
        <v>149</v>
      </c>
      <c r="H7" s="33"/>
      <c r="I7" s="33"/>
    </row>
    <row r="8" spans="1:9" ht="35.25" customHeight="1" x14ac:dyDescent="0.25">
      <c r="A8" s="23"/>
      <c r="B8" s="32"/>
      <c r="C8" s="33"/>
      <c r="D8" s="23"/>
      <c r="E8" s="33"/>
      <c r="F8" s="23"/>
      <c r="G8" s="3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H3:H13 H16:H25 H28:H42" xr:uid="{8FD15168-C016-4184-956B-D467D473E77A}">
      <formula1>Estado</formula1>
    </dataValidation>
    <dataValidation type="list" allowBlank="1" showInputMessage="1" showErrorMessage="1" sqref="G28:G42 G16:G25 G3:G13" xr:uid="{F80F4F5F-50E2-41F8-B9E1-7D2A4E4514E3}">
      <formula1>Institucion</formula1>
    </dataValidation>
    <dataValidation type="list" allowBlank="1" showInputMessage="1" showErrorMessage="1" sqref="F28:F42 F16:F25 F3:F13" xr:uid="{7D59389F-58E9-4A02-9874-6DA45CEF4E78}">
      <formula1>SistemaServicio</formula1>
    </dataValidation>
    <dataValidation type="list" allowBlank="1" showInputMessage="1" showErrorMessage="1" sqref="D11:D13 D28:D34 D24:D25 D16:D18 D20:D22 D36:D42 D3:D9" xr:uid="{7FD67BCD-45A7-42C8-9978-05B6516CDA5C}">
      <formula1>TipoActividad</formula1>
    </dataValidation>
    <dataValidation type="list" allowBlank="1" showInputMessage="1" showErrorMessage="1" sqref="C11:C13 C24:C25 C28:C42 C16:C18 C20:C22 C3:C9" xr:uid="{D8A9F0A3-24A3-400F-AA8E-8DAFE2EF64D4}">
      <formula1>Responsable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CE96-76DA-4B27-9AE2-A02564506034}">
  <dimension ref="A2:I42"/>
  <sheetViews>
    <sheetView zoomScale="64" zoomScaleNormal="80" workbookViewId="0">
      <selection activeCell="E5" sqref="E5"/>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45971</v>
      </c>
      <c r="C3" s="33" t="s">
        <v>145</v>
      </c>
      <c r="D3" s="33" t="s">
        <v>146</v>
      </c>
      <c r="E3" s="33" t="s">
        <v>181</v>
      </c>
      <c r="F3" s="33" t="s">
        <v>154</v>
      </c>
      <c r="G3" s="33" t="s">
        <v>149</v>
      </c>
      <c r="H3" s="33"/>
      <c r="I3" s="33"/>
    </row>
    <row r="4" spans="1:9" ht="42.75" customHeight="1" x14ac:dyDescent="0.25">
      <c r="A4" s="23">
        <v>2</v>
      </c>
      <c r="B4" s="32">
        <v>45972</v>
      </c>
      <c r="C4" s="33" t="s">
        <v>145</v>
      </c>
      <c r="D4" s="33" t="s">
        <v>146</v>
      </c>
      <c r="E4" s="33" t="s">
        <v>181</v>
      </c>
      <c r="F4" s="33" t="s">
        <v>154</v>
      </c>
      <c r="G4" s="33" t="s">
        <v>149</v>
      </c>
      <c r="H4" s="33"/>
      <c r="I4" s="33"/>
    </row>
    <row r="5" spans="1:9" ht="21" customHeight="1" x14ac:dyDescent="0.25">
      <c r="A5" s="23">
        <v>3</v>
      </c>
      <c r="B5" s="32">
        <v>45973</v>
      </c>
      <c r="C5" s="33" t="s">
        <v>145</v>
      </c>
      <c r="D5" s="33" t="s">
        <v>171</v>
      </c>
      <c r="E5" s="33" t="s">
        <v>182</v>
      </c>
      <c r="F5" s="33" t="s">
        <v>148</v>
      </c>
      <c r="G5" s="33" t="s">
        <v>149</v>
      </c>
      <c r="H5" s="33"/>
      <c r="I5" s="34"/>
    </row>
    <row r="6" spans="1:9" ht="43.5" customHeight="1" x14ac:dyDescent="0.25">
      <c r="A6" s="23">
        <v>4</v>
      </c>
      <c r="B6" s="32">
        <v>45974</v>
      </c>
      <c r="C6" s="33" t="s">
        <v>145</v>
      </c>
      <c r="D6" s="33" t="s">
        <v>171</v>
      </c>
      <c r="E6" s="33" t="s">
        <v>183</v>
      </c>
      <c r="F6" s="33" t="s">
        <v>148</v>
      </c>
      <c r="G6" s="33" t="s">
        <v>149</v>
      </c>
      <c r="H6" s="33"/>
      <c r="I6" s="33"/>
    </row>
    <row r="7" spans="1:9" x14ac:dyDescent="0.25">
      <c r="A7" s="23">
        <v>5</v>
      </c>
      <c r="B7" s="32">
        <v>45975</v>
      </c>
      <c r="C7" s="33" t="s">
        <v>145</v>
      </c>
      <c r="D7" s="33" t="s">
        <v>146</v>
      </c>
      <c r="E7" s="33" t="s">
        <v>183</v>
      </c>
      <c r="F7" s="33" t="s">
        <v>184</v>
      </c>
      <c r="G7" s="33" t="s">
        <v>149</v>
      </c>
      <c r="H7" s="33"/>
      <c r="I7" s="33"/>
    </row>
    <row r="8" spans="1:9" ht="35.25" customHeight="1" x14ac:dyDescent="0.25">
      <c r="A8" s="23"/>
      <c r="B8" s="32"/>
      <c r="C8" s="33"/>
      <c r="D8" s="23"/>
      <c r="E8" s="33"/>
      <c r="F8" s="23"/>
      <c r="G8" s="3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phoneticPr fontId="7" type="noConversion"/>
  <dataValidations count="5">
    <dataValidation type="list" allowBlank="1" showInputMessage="1" showErrorMessage="1" sqref="C11:C13 C24:C25 C28:C42 C16:C18 C20:C22 C3:C9" xr:uid="{FB95ABFF-D6E7-4AD6-8F43-560DE423624E}">
      <formula1>Responsable</formula1>
    </dataValidation>
    <dataValidation type="list" allowBlank="1" showInputMessage="1" showErrorMessage="1" sqref="D11:D13 D28:D34 D24:D25 D16:D18 D20:D22 D36:D42 D3:D9" xr:uid="{43253168-EC09-46E1-865A-B6D3C7BB79F6}">
      <formula1>TipoActividad</formula1>
    </dataValidation>
    <dataValidation type="list" allowBlank="1" showInputMessage="1" showErrorMessage="1" sqref="F28:F42 F16:F25 F3:F13" xr:uid="{8F63934A-0A27-452F-A5BC-F0D11CD5EAE3}">
      <formula1>SistemaServicio</formula1>
    </dataValidation>
    <dataValidation type="list" allowBlank="1" showInputMessage="1" showErrorMessage="1" sqref="G28:G42 G16:G25 G3:G13" xr:uid="{F01AF797-67E1-41E5-B6E5-A5859FE3D0F9}">
      <formula1>Institucion</formula1>
    </dataValidation>
    <dataValidation type="list" allowBlank="1" showInputMessage="1" showErrorMessage="1" sqref="H3:H13 H16:H25 H28:H42" xr:uid="{8E948DB6-5719-4AB4-9E10-FAD6F95BEE94}">
      <formula1>Estado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1D18-A4FA-45F7-8DC6-1BA5562DBD10}">
  <dimension ref="A2:I42"/>
  <sheetViews>
    <sheetView topLeftCell="B5" zoomScale="64" zoomScaleNormal="80" workbookViewId="0">
      <selection activeCell="G7" sqref="G7:G8"/>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45957</v>
      </c>
      <c r="C3" s="33" t="s">
        <v>145</v>
      </c>
      <c r="D3" s="33" t="s">
        <v>146</v>
      </c>
      <c r="E3" s="33" t="s">
        <v>169</v>
      </c>
      <c r="F3" s="33" t="s">
        <v>154</v>
      </c>
      <c r="G3" s="33" t="s">
        <v>149</v>
      </c>
      <c r="H3" s="33"/>
      <c r="I3" s="33"/>
    </row>
    <row r="4" spans="1:9" ht="42.75" customHeight="1" x14ac:dyDescent="0.25">
      <c r="A4" s="23">
        <v>2</v>
      </c>
      <c r="B4" s="32">
        <v>45964</v>
      </c>
      <c r="C4" s="33" t="s">
        <v>145</v>
      </c>
      <c r="D4" s="33" t="s">
        <v>146</v>
      </c>
      <c r="E4" s="33" t="s">
        <v>158</v>
      </c>
      <c r="F4" s="33" t="s">
        <v>148</v>
      </c>
      <c r="G4" s="33" t="s">
        <v>149</v>
      </c>
      <c r="H4" s="33"/>
      <c r="I4" s="33"/>
    </row>
    <row r="5" spans="1:9" ht="21" customHeight="1" x14ac:dyDescent="0.25">
      <c r="A5" s="23">
        <v>3</v>
      </c>
      <c r="B5" s="32">
        <v>45965</v>
      </c>
      <c r="C5" s="33" t="s">
        <v>145</v>
      </c>
      <c r="D5" s="33" t="s">
        <v>171</v>
      </c>
      <c r="E5" s="33" t="s">
        <v>158</v>
      </c>
      <c r="F5" s="33" t="s">
        <v>148</v>
      </c>
      <c r="G5" s="33" t="s">
        <v>149</v>
      </c>
      <c r="H5" s="33"/>
      <c r="I5" s="34"/>
    </row>
    <row r="6" spans="1:9" ht="43.5" customHeight="1" x14ac:dyDescent="0.25">
      <c r="A6" s="23"/>
      <c r="B6" s="32">
        <v>45966</v>
      </c>
      <c r="C6" s="33" t="s">
        <v>145</v>
      </c>
      <c r="D6" s="33" t="s">
        <v>171</v>
      </c>
      <c r="E6" s="33" t="s">
        <v>177</v>
      </c>
      <c r="F6" s="33" t="s">
        <v>174</v>
      </c>
      <c r="G6" s="33" t="s">
        <v>149</v>
      </c>
      <c r="H6" s="33"/>
      <c r="I6" s="33"/>
    </row>
    <row r="7" spans="1:9" ht="30" x14ac:dyDescent="0.25">
      <c r="A7" s="23"/>
      <c r="B7" s="32">
        <v>45967</v>
      </c>
      <c r="C7" s="33" t="s">
        <v>145</v>
      </c>
      <c r="D7" s="33" t="s">
        <v>146</v>
      </c>
      <c r="E7" s="33" t="s">
        <v>176</v>
      </c>
      <c r="F7" s="33" t="s">
        <v>148</v>
      </c>
      <c r="G7" s="33" t="s">
        <v>149</v>
      </c>
      <c r="H7" s="33"/>
      <c r="I7" s="33"/>
    </row>
    <row r="8" spans="1:9" ht="35.25" customHeight="1" x14ac:dyDescent="0.25">
      <c r="A8" s="23"/>
      <c r="B8" s="32">
        <v>45968</v>
      </c>
      <c r="C8" s="33" t="s">
        <v>145</v>
      </c>
      <c r="D8" s="23" t="s">
        <v>178</v>
      </c>
      <c r="E8" s="33" t="s">
        <v>179</v>
      </c>
      <c r="F8" s="23" t="s">
        <v>180</v>
      </c>
      <c r="G8" s="33" t="s">
        <v>149</v>
      </c>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H3:H13 H16:H25 H28:H42" xr:uid="{13CD358A-612B-48CD-B4AE-8247940D1CFC}">
      <formula1>Estado</formula1>
    </dataValidation>
    <dataValidation type="list" allowBlank="1" showInputMessage="1" showErrorMessage="1" sqref="G28:G42 G16:G25 G3:G13" xr:uid="{54F4404C-30B1-42C0-9525-D3AF410F91BB}">
      <formula1>Institucion</formula1>
    </dataValidation>
    <dataValidation type="list" allowBlank="1" showInputMessage="1" showErrorMessage="1" sqref="F28:F42 F16:F25 F3:F13" xr:uid="{EBEC69D4-6C10-4E58-964F-F74FEBA45192}">
      <formula1>SistemaServicio</formula1>
    </dataValidation>
    <dataValidation type="list" allowBlank="1" showInputMessage="1" showErrorMessage="1" sqref="D11:D13 D28:D34 D24:D25 D16:D18 D20:D22 D36:D42 D3:D9" xr:uid="{E3FD490E-8E83-468D-B020-D321C5B40A08}">
      <formula1>TipoActividad</formula1>
    </dataValidation>
    <dataValidation type="list" allowBlank="1" showInputMessage="1" showErrorMessage="1" sqref="C11:C13 C24:C25 C28:C42 C16:C18 C20:C22 C3:C9" xr:uid="{7187C063-1CD4-4A1C-B540-96E050CC2115}">
      <formula1>Responsable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ED3F6-443F-4A46-919A-D660B8A9F7B0}">
  <dimension ref="A2:I42"/>
  <sheetViews>
    <sheetView topLeftCell="B4" zoomScale="64" zoomScaleNormal="80" workbookViewId="0">
      <selection activeCell="E6" sqref="E6"/>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45957</v>
      </c>
      <c r="C3" s="33" t="s">
        <v>145</v>
      </c>
      <c r="D3" s="33" t="s">
        <v>146</v>
      </c>
      <c r="E3" s="33" t="s">
        <v>169</v>
      </c>
      <c r="F3" s="33" t="s">
        <v>154</v>
      </c>
      <c r="G3" s="33" t="s">
        <v>149</v>
      </c>
      <c r="H3" s="33"/>
      <c r="I3" s="33"/>
    </row>
    <row r="4" spans="1:9" ht="42.75" customHeight="1" x14ac:dyDescent="0.25">
      <c r="A4" s="23">
        <v>2</v>
      </c>
      <c r="B4" s="32">
        <v>45958</v>
      </c>
      <c r="C4" s="33" t="s">
        <v>145</v>
      </c>
      <c r="D4" s="33" t="s">
        <v>146</v>
      </c>
      <c r="E4" s="33" t="s">
        <v>172</v>
      </c>
      <c r="F4" s="33" t="s">
        <v>148</v>
      </c>
      <c r="G4" s="33" t="s">
        <v>149</v>
      </c>
      <c r="H4" s="33"/>
      <c r="I4" s="33"/>
    </row>
    <row r="5" spans="1:9" ht="39.75" customHeight="1" x14ac:dyDescent="0.25">
      <c r="A5" s="23">
        <v>3</v>
      </c>
      <c r="B5" s="32">
        <v>45959</v>
      </c>
      <c r="C5" s="33" t="s">
        <v>145</v>
      </c>
      <c r="D5" s="33" t="s">
        <v>171</v>
      </c>
      <c r="E5" s="33" t="s">
        <v>170</v>
      </c>
      <c r="F5" s="33" t="s">
        <v>148</v>
      </c>
      <c r="G5" s="33" t="s">
        <v>149</v>
      </c>
      <c r="H5" s="33"/>
      <c r="I5" s="34"/>
    </row>
    <row r="6" spans="1:9" x14ac:dyDescent="0.25">
      <c r="A6" s="23"/>
      <c r="B6" s="32">
        <v>45960</v>
      </c>
      <c r="C6" s="33" t="s">
        <v>145</v>
      </c>
      <c r="D6" s="33" t="s">
        <v>171</v>
      </c>
      <c r="E6" s="33" t="s">
        <v>173</v>
      </c>
      <c r="F6" s="33" t="s">
        <v>174</v>
      </c>
      <c r="G6" s="33" t="s">
        <v>149</v>
      </c>
      <c r="H6" s="33"/>
      <c r="I6" s="33"/>
    </row>
    <row r="7" spans="1:9" ht="30" x14ac:dyDescent="0.25">
      <c r="A7" s="23"/>
      <c r="B7" s="32">
        <v>45961</v>
      </c>
      <c r="C7" s="33" t="s">
        <v>145</v>
      </c>
      <c r="D7" s="33" t="s">
        <v>146</v>
      </c>
      <c r="E7" s="33" t="s">
        <v>175</v>
      </c>
      <c r="F7" s="33" t="s">
        <v>148</v>
      </c>
      <c r="G7" s="33" t="s">
        <v>149</v>
      </c>
      <c r="H7" s="33"/>
      <c r="I7" s="33"/>
    </row>
    <row r="8" spans="1:9" ht="35.25" customHeight="1" x14ac:dyDescent="0.25">
      <c r="A8" s="23"/>
      <c r="B8" s="32"/>
      <c r="C8" s="33"/>
      <c r="D8" s="23"/>
      <c r="E8" s="33"/>
      <c r="F8" s="23"/>
      <c r="G8" s="2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phoneticPr fontId="7" type="noConversion"/>
  <dataValidations count="5">
    <dataValidation type="list" allowBlank="1" showInputMessage="1" showErrorMessage="1" sqref="C11:C13 C24:C25 C28:C42 C16:C18 C20:C22 C3:C9" xr:uid="{82E113EA-1B25-429D-A1CA-12514226B691}">
      <formula1>Responsable</formula1>
    </dataValidation>
    <dataValidation type="list" allowBlank="1" showInputMessage="1" showErrorMessage="1" sqref="D11:D13 D28:D34 D24:D25 D16:D18 D20:D22 D36:D42 D3:D9" xr:uid="{70C1FDBF-F61D-40A0-BAD8-A3DAB85215BC}">
      <formula1>TipoActividad</formula1>
    </dataValidation>
    <dataValidation type="list" allowBlank="1" showInputMessage="1" showErrorMessage="1" sqref="F28:F42 F16:F25 F3:F13" xr:uid="{ECEC8AB0-AF9F-4721-8929-C30A8E0B6056}">
      <formula1>SistemaServicio</formula1>
    </dataValidation>
    <dataValidation type="list" allowBlank="1" showInputMessage="1" showErrorMessage="1" sqref="G28:G42 G16:G25 G3:G13" xr:uid="{ED3DC52C-C89F-4C66-A33D-9969C0D8971C}">
      <formula1>Institucion</formula1>
    </dataValidation>
    <dataValidation type="list" allowBlank="1" showInputMessage="1" showErrorMessage="1" sqref="H3:H13 H16:H25 H28:H42" xr:uid="{BAE055E5-D64D-4E9E-87CC-2FECAB82D485}">
      <formula1>Estado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16F7C-221A-4868-A7EF-B2B111E82F28}">
  <dimension ref="A2:I42"/>
  <sheetViews>
    <sheetView zoomScale="64" zoomScaleNormal="80" workbookViewId="0">
      <selection activeCell="E6" sqref="E6"/>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45950</v>
      </c>
      <c r="C3" s="33" t="s">
        <v>145</v>
      </c>
      <c r="D3" s="33" t="s">
        <v>146</v>
      </c>
      <c r="E3" s="33" t="s">
        <v>164</v>
      </c>
      <c r="F3" s="33" t="s">
        <v>154</v>
      </c>
      <c r="G3" s="33" t="s">
        <v>149</v>
      </c>
      <c r="H3" s="33"/>
      <c r="I3" s="33"/>
    </row>
    <row r="4" spans="1:9" ht="42.75" customHeight="1" x14ac:dyDescent="0.25">
      <c r="A4" s="23">
        <v>2</v>
      </c>
      <c r="B4" s="32">
        <v>45951</v>
      </c>
      <c r="C4" s="33" t="s">
        <v>145</v>
      </c>
      <c r="D4" s="33" t="s">
        <v>146</v>
      </c>
      <c r="E4" s="33" t="s">
        <v>166</v>
      </c>
      <c r="F4" s="33" t="s">
        <v>154</v>
      </c>
      <c r="G4" s="33" t="s">
        <v>149</v>
      </c>
      <c r="H4" s="33"/>
      <c r="I4" s="33"/>
    </row>
    <row r="5" spans="1:9" ht="39.75" customHeight="1" x14ac:dyDescent="0.25">
      <c r="A5" s="23">
        <v>3</v>
      </c>
      <c r="B5" s="32">
        <v>45952</v>
      </c>
      <c r="C5" s="33" t="s">
        <v>145</v>
      </c>
      <c r="D5" s="33" t="s">
        <v>146</v>
      </c>
      <c r="E5" s="33" t="s">
        <v>165</v>
      </c>
      <c r="F5" s="33" t="s">
        <v>154</v>
      </c>
      <c r="G5" s="33" t="s">
        <v>149</v>
      </c>
      <c r="H5" s="33"/>
      <c r="I5" s="34"/>
    </row>
    <row r="6" spans="1:9" ht="60" x14ac:dyDescent="0.25">
      <c r="A6" s="23"/>
      <c r="B6" s="32">
        <v>45953</v>
      </c>
      <c r="C6" s="33" t="s">
        <v>145</v>
      </c>
      <c r="D6" s="33" t="s">
        <v>146</v>
      </c>
      <c r="E6" s="33" t="s">
        <v>167</v>
      </c>
      <c r="F6" s="33" t="s">
        <v>154</v>
      </c>
      <c r="G6" s="33" t="s">
        <v>149</v>
      </c>
      <c r="H6" s="33"/>
      <c r="I6" s="33"/>
    </row>
    <row r="7" spans="1:9" ht="30" x14ac:dyDescent="0.25">
      <c r="A7" s="23"/>
      <c r="B7" s="32">
        <v>45954</v>
      </c>
      <c r="C7" s="33" t="s">
        <v>145</v>
      </c>
      <c r="D7" s="33" t="s">
        <v>146</v>
      </c>
      <c r="E7" s="33" t="s">
        <v>168</v>
      </c>
      <c r="F7" s="33" t="s">
        <v>154</v>
      </c>
      <c r="G7" s="33" t="s">
        <v>149</v>
      </c>
      <c r="H7" s="33"/>
      <c r="I7" s="33"/>
    </row>
    <row r="8" spans="1:9" ht="35.25" customHeight="1" x14ac:dyDescent="0.25">
      <c r="A8" s="23"/>
      <c r="B8" s="32"/>
      <c r="C8" s="33"/>
      <c r="D8" s="23"/>
      <c r="E8" s="33"/>
      <c r="F8" s="23"/>
      <c r="G8" s="2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H3:H13 H16:H25 H28:H42" xr:uid="{722B6E16-CF63-4134-BDF8-FC06EBFD7CA7}">
      <formula1>Estado</formula1>
    </dataValidation>
    <dataValidation type="list" allowBlank="1" showInputMessage="1" showErrorMessage="1" sqref="G28:G42 G16:G25 G3:G13" xr:uid="{08B10835-9DF2-4628-9DEB-C62A96A6AB9D}">
      <formula1>Institucion</formula1>
    </dataValidation>
    <dataValidation type="list" allowBlank="1" showInputMessage="1" showErrorMessage="1" sqref="F28:F42 F16:F25 F3:F13" xr:uid="{65BA9A26-6DB0-4295-B47E-9A7ADC9C2DD4}">
      <formula1>SistemaServicio</formula1>
    </dataValidation>
    <dataValidation type="list" allowBlank="1" showInputMessage="1" showErrorMessage="1" sqref="D11:D13 D28:D34 D24:D25 D16:D18 D20:D22 D36:D42 D3:D9" xr:uid="{1942CD5D-2009-43DF-B843-F8016156588A}">
      <formula1>TipoActividad</formula1>
    </dataValidation>
    <dataValidation type="list" allowBlank="1" showInputMessage="1" showErrorMessage="1" sqref="C11:C13 C24:C25 C28:C42 C16:C18 C20:C22 C3:C9" xr:uid="{3DA9932F-8B4B-4172-AAA6-DECAE63E371A}">
      <formula1>Responsable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8E00-2C1F-4AB5-8BEC-1D6DB3A214A5}">
  <dimension ref="A2:I42"/>
  <sheetViews>
    <sheetView topLeftCell="B1" zoomScale="64" zoomScaleNormal="80" workbookViewId="0">
      <selection activeCell="E7" sqref="E7"/>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45943</v>
      </c>
      <c r="C3" s="33" t="s">
        <v>145</v>
      </c>
      <c r="D3" s="33" t="s">
        <v>146</v>
      </c>
      <c r="E3" s="33" t="s">
        <v>159</v>
      </c>
      <c r="F3" s="33" t="s">
        <v>154</v>
      </c>
      <c r="G3" s="33" t="s">
        <v>149</v>
      </c>
      <c r="H3" s="33"/>
      <c r="I3" s="33"/>
    </row>
    <row r="4" spans="1:9" ht="42.75" customHeight="1" x14ac:dyDescent="0.25">
      <c r="A4" s="23">
        <v>2</v>
      </c>
      <c r="B4" s="32">
        <v>45944</v>
      </c>
      <c r="C4" s="33" t="s">
        <v>145</v>
      </c>
      <c r="D4" s="33" t="s">
        <v>146</v>
      </c>
      <c r="E4" s="33" t="s">
        <v>160</v>
      </c>
      <c r="F4" s="33" t="s">
        <v>154</v>
      </c>
      <c r="G4" s="33" t="s">
        <v>149</v>
      </c>
      <c r="H4" s="33"/>
      <c r="I4" s="33"/>
    </row>
    <row r="5" spans="1:9" ht="39.75" customHeight="1" x14ac:dyDescent="0.25">
      <c r="A5" s="23">
        <v>3</v>
      </c>
      <c r="B5" s="32">
        <v>45945</v>
      </c>
      <c r="C5" s="33" t="s">
        <v>145</v>
      </c>
      <c r="D5" s="33" t="s">
        <v>146</v>
      </c>
      <c r="E5" s="33" t="s">
        <v>161</v>
      </c>
      <c r="F5" s="33" t="s">
        <v>154</v>
      </c>
      <c r="G5" s="33" t="s">
        <v>149</v>
      </c>
      <c r="H5" s="33"/>
      <c r="I5" s="34"/>
    </row>
    <row r="6" spans="1:9" ht="45" x14ac:dyDescent="0.25">
      <c r="A6" s="23"/>
      <c r="B6" s="32">
        <v>45946</v>
      </c>
      <c r="C6" s="33" t="s">
        <v>145</v>
      </c>
      <c r="D6" s="33" t="s">
        <v>146</v>
      </c>
      <c r="E6" s="33" t="s">
        <v>162</v>
      </c>
      <c r="F6" s="33" t="s">
        <v>154</v>
      </c>
      <c r="G6" s="33" t="s">
        <v>149</v>
      </c>
      <c r="H6" s="33"/>
      <c r="I6" s="33"/>
    </row>
    <row r="7" spans="1:9" ht="30" x14ac:dyDescent="0.25">
      <c r="A7" s="23"/>
      <c r="B7" s="32">
        <v>45947</v>
      </c>
      <c r="C7" s="33" t="s">
        <v>145</v>
      </c>
      <c r="D7" s="33" t="s">
        <v>146</v>
      </c>
      <c r="E7" s="33" t="s">
        <v>163</v>
      </c>
      <c r="F7" s="33" t="s">
        <v>154</v>
      </c>
      <c r="G7" s="33" t="s">
        <v>149</v>
      </c>
      <c r="H7" s="33"/>
      <c r="I7" s="33"/>
    </row>
    <row r="8" spans="1:9" ht="35.25" customHeight="1" x14ac:dyDescent="0.25">
      <c r="A8" s="23"/>
      <c r="B8" s="32"/>
      <c r="C8" s="33"/>
      <c r="D8" s="23"/>
      <c r="E8" s="33"/>
      <c r="F8" s="23"/>
      <c r="G8" s="2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C11:C13 C24:C25 C28:C42 C16:C18 C20:C22 C3:C9" xr:uid="{8E431C01-3C03-4C5C-88A9-25C1EA7C405A}">
      <formula1>Responsable</formula1>
    </dataValidation>
    <dataValidation type="list" allowBlank="1" showInputMessage="1" showErrorMessage="1" sqref="D11:D13 D28:D34 D24:D25 D16:D18 D20:D22 D36:D42 D3:D9" xr:uid="{09F08477-AE67-4F0D-97E6-E154DAF50F3B}">
      <formula1>TipoActividad</formula1>
    </dataValidation>
    <dataValidation type="list" allowBlank="1" showInputMessage="1" showErrorMessage="1" sqref="F28:F42 F16:F25 F3:F13" xr:uid="{D4007E42-BDC0-4A35-B614-ADAC34CB3174}">
      <formula1>SistemaServicio</formula1>
    </dataValidation>
    <dataValidation type="list" allowBlank="1" showInputMessage="1" showErrorMessage="1" sqref="G28:G42 G16:G25 G3:G13" xr:uid="{E6F4CF6C-4179-4E0D-B5A2-41DB33500105}">
      <formula1>Institucion</formula1>
    </dataValidation>
    <dataValidation type="list" allowBlank="1" showInputMessage="1" showErrorMessage="1" sqref="H3:H13 H16:H25 H28:H42" xr:uid="{FF22F139-16DE-449F-83D0-31736A13BFCF}">
      <formula1>Estado</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A1E4B-7628-432F-9942-68CBD8B9446F}">
  <dimension ref="A2:I42"/>
  <sheetViews>
    <sheetView zoomScale="58" zoomScaleNormal="80" workbookViewId="0">
      <selection activeCell="C6" sqref="C6:C7"/>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45936</v>
      </c>
      <c r="C3" s="33" t="s">
        <v>145</v>
      </c>
      <c r="D3" s="33" t="s">
        <v>146</v>
      </c>
      <c r="E3" s="33" t="s">
        <v>156</v>
      </c>
      <c r="F3" s="33" t="s">
        <v>154</v>
      </c>
      <c r="G3" s="33" t="s">
        <v>149</v>
      </c>
      <c r="H3" s="33"/>
      <c r="I3" s="33"/>
    </row>
    <row r="4" spans="1:9" ht="42.75" customHeight="1" x14ac:dyDescent="0.25">
      <c r="A4" s="23">
        <v>2</v>
      </c>
      <c r="B4" s="32">
        <v>45937</v>
      </c>
      <c r="C4" s="33" t="s">
        <v>145</v>
      </c>
      <c r="D4" s="33" t="s">
        <v>146</v>
      </c>
      <c r="E4" s="33" t="s">
        <v>157</v>
      </c>
      <c r="F4" s="33" t="s">
        <v>154</v>
      </c>
      <c r="G4" s="33" t="s">
        <v>149</v>
      </c>
      <c r="H4" s="33"/>
      <c r="I4" s="33"/>
    </row>
    <row r="5" spans="1:9" ht="39.75" customHeight="1" x14ac:dyDescent="0.25">
      <c r="A5" s="23">
        <v>3</v>
      </c>
      <c r="B5" s="32">
        <v>45938</v>
      </c>
      <c r="C5" s="33" t="s">
        <v>145</v>
      </c>
      <c r="D5" s="33" t="s">
        <v>146</v>
      </c>
      <c r="E5" s="33" t="s">
        <v>155</v>
      </c>
      <c r="F5" s="33" t="s">
        <v>154</v>
      </c>
      <c r="G5" s="33" t="s">
        <v>149</v>
      </c>
      <c r="H5" s="33"/>
      <c r="I5" s="34"/>
    </row>
    <row r="6" spans="1:9" x14ac:dyDescent="0.25">
      <c r="A6" s="23"/>
      <c r="B6" s="32">
        <v>45939</v>
      </c>
      <c r="C6" s="33" t="s">
        <v>158</v>
      </c>
      <c r="D6" s="33"/>
      <c r="E6" s="33"/>
      <c r="F6" s="33"/>
      <c r="G6" s="33"/>
      <c r="H6" s="33"/>
      <c r="I6" s="33"/>
    </row>
    <row r="7" spans="1:9" x14ac:dyDescent="0.25">
      <c r="A7" s="23"/>
      <c r="B7" s="32">
        <v>45940</v>
      </c>
      <c r="C7" s="33" t="s">
        <v>158</v>
      </c>
      <c r="D7" s="33"/>
      <c r="E7" s="33"/>
      <c r="F7" s="33"/>
      <c r="G7" s="33"/>
      <c r="H7" s="33"/>
      <c r="I7" s="33"/>
    </row>
    <row r="8" spans="1:9" ht="35.25" customHeight="1" x14ac:dyDescent="0.25">
      <c r="A8" s="23"/>
      <c r="B8" s="32"/>
      <c r="C8" s="33"/>
      <c r="D8" s="23"/>
      <c r="E8" s="33"/>
      <c r="F8" s="23"/>
      <c r="G8" s="2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H3:H13 H16:H25 H28:H42" xr:uid="{D53BFEB6-B5B6-480A-9D59-3FCD23CBADEA}">
      <formula1>Estado</formula1>
    </dataValidation>
    <dataValidation type="list" allowBlank="1" showInputMessage="1" showErrorMessage="1" sqref="G3:G13 G16:G25 G28:G42" xr:uid="{8CB3DC93-6BC6-4330-81B8-FE6CEA6D78AF}">
      <formula1>Institucion</formula1>
    </dataValidation>
    <dataValidation type="list" allowBlank="1" showInputMessage="1" showErrorMessage="1" sqref="F28:F42 F16:F25 F3:F13" xr:uid="{63B8F740-B7F3-4076-AC25-E566A8B5FCD6}">
      <formula1>SistemaServicio</formula1>
    </dataValidation>
    <dataValidation type="list" allowBlank="1" showInputMessage="1" showErrorMessage="1" sqref="D11:D13 D28:D34 D24:D25 D16:D18 D20:D22 D36:D42 D3:D9" xr:uid="{A9EA158E-B8EE-4C57-A9CE-942642D24E57}">
      <formula1>TipoActividad</formula1>
    </dataValidation>
    <dataValidation type="list" allowBlank="1" showInputMessage="1" showErrorMessage="1" sqref="C11:C13 C24:C25 C28:C42 C16:C18 C20:C22 C3:C9" xr:uid="{5C1BEAAB-45EE-4D29-9A8D-F0B6DF9E3722}">
      <formula1>Responsable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AE56-2D2C-48D8-B201-19CFF721C27D}">
  <dimension ref="A2:I42"/>
  <sheetViews>
    <sheetView zoomScale="80" zoomScaleNormal="80" workbookViewId="0">
      <selection activeCell="E5" sqref="E5"/>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45929</v>
      </c>
      <c r="C3" s="33" t="s">
        <v>145</v>
      </c>
      <c r="D3" s="33" t="s">
        <v>146</v>
      </c>
      <c r="E3" s="33" t="s">
        <v>150</v>
      </c>
      <c r="F3" s="33" t="s">
        <v>148</v>
      </c>
      <c r="G3" s="33" t="s">
        <v>149</v>
      </c>
      <c r="H3" s="33"/>
      <c r="I3" s="33"/>
    </row>
    <row r="4" spans="1:9" ht="42.75" customHeight="1" x14ac:dyDescent="0.25">
      <c r="A4" s="23">
        <v>2</v>
      </c>
      <c r="B4" s="32">
        <v>45930</v>
      </c>
      <c r="C4" s="33" t="s">
        <v>145</v>
      </c>
      <c r="D4" s="33" t="s">
        <v>146</v>
      </c>
      <c r="E4" s="33" t="s">
        <v>151</v>
      </c>
      <c r="F4" s="33" t="s">
        <v>148</v>
      </c>
      <c r="G4" s="33" t="s">
        <v>149</v>
      </c>
      <c r="H4" s="33"/>
      <c r="I4" s="33"/>
    </row>
    <row r="5" spans="1:9" x14ac:dyDescent="0.25">
      <c r="A5" s="23">
        <v>3</v>
      </c>
      <c r="B5" s="32">
        <v>45931</v>
      </c>
      <c r="C5" s="33" t="s">
        <v>145</v>
      </c>
      <c r="D5" s="33" t="s">
        <v>146</v>
      </c>
      <c r="E5" s="33" t="s">
        <v>152</v>
      </c>
      <c r="F5" s="33" t="s">
        <v>148</v>
      </c>
      <c r="G5" s="33" t="s">
        <v>149</v>
      </c>
      <c r="H5" s="33"/>
      <c r="I5" s="34"/>
    </row>
    <row r="6" spans="1:9" x14ac:dyDescent="0.25">
      <c r="A6" s="23">
        <v>4</v>
      </c>
      <c r="B6" s="32">
        <v>45932</v>
      </c>
      <c r="C6" s="33" t="s">
        <v>145</v>
      </c>
      <c r="D6" s="33" t="s">
        <v>146</v>
      </c>
      <c r="E6" s="33" t="s">
        <v>153</v>
      </c>
      <c r="F6" s="33" t="s">
        <v>148</v>
      </c>
      <c r="G6" s="33" t="s">
        <v>149</v>
      </c>
      <c r="H6" s="33"/>
      <c r="I6" s="33"/>
    </row>
    <row r="7" spans="1:9" x14ac:dyDescent="0.25">
      <c r="A7" s="23">
        <v>5</v>
      </c>
      <c r="B7" s="32">
        <v>45933</v>
      </c>
      <c r="C7" s="33" t="s">
        <v>145</v>
      </c>
      <c r="D7" s="33" t="s">
        <v>146</v>
      </c>
      <c r="E7" s="33" t="s">
        <v>153</v>
      </c>
      <c r="F7" s="33" t="s">
        <v>148</v>
      </c>
      <c r="G7" s="33" t="s">
        <v>149</v>
      </c>
      <c r="H7" s="33"/>
      <c r="I7" s="33"/>
    </row>
    <row r="8" spans="1:9" ht="35.25" customHeight="1" x14ac:dyDescent="0.25">
      <c r="A8" s="23"/>
      <c r="B8" s="32"/>
      <c r="C8" s="33"/>
      <c r="D8" s="23"/>
      <c r="E8" s="33"/>
      <c r="F8" s="23"/>
      <c r="G8" s="2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C11:C13 C24:C25 C3:C9 C16:C18 C20:C22 C28:C42" xr:uid="{63DFA73B-32AC-4B87-8182-ECB44208948F}">
      <formula1>Responsable</formula1>
    </dataValidation>
    <dataValidation type="list" allowBlank="1" showInputMessage="1" showErrorMessage="1" sqref="D11:D13 D28:D34 D24:D25 D16:D18 D20:D22 D36:D42 D3:D9" xr:uid="{A7BA66D9-B8AC-4BB5-A4EB-3D6BEC2714D9}">
      <formula1>TipoActividad</formula1>
    </dataValidation>
    <dataValidation type="list" allowBlank="1" showInputMessage="1" showErrorMessage="1" sqref="F28:F42 F16:F25 F3:F13" xr:uid="{6EF63D99-8971-496E-A3A6-E1BDAE9CAA3C}">
      <formula1>SistemaServicio</formula1>
    </dataValidation>
    <dataValidation type="list" allowBlank="1" showInputMessage="1" showErrorMessage="1" sqref="G3:G13 G16:G25 G28:G42" xr:uid="{8D5FF14D-7C22-40FD-9C62-1174E82DE93D}">
      <formula1>Institucion</formula1>
    </dataValidation>
    <dataValidation type="list" allowBlank="1" showInputMessage="1" showErrorMessage="1" sqref="H3:H13 H16:H25 H28:H42" xr:uid="{752F30D6-09DC-4CAF-BC5D-6BBC6FACB45A}">
      <formula1>Estado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5561-3062-4D60-A616-531602CC2D81}">
  <dimension ref="A2:I42"/>
  <sheetViews>
    <sheetView zoomScale="80" zoomScaleNormal="80" workbookViewId="0">
      <selection activeCell="E15" sqref="E15"/>
    </sheetView>
  </sheetViews>
  <sheetFormatPr baseColWidth="10" defaultColWidth="9.140625" defaultRowHeight="15" x14ac:dyDescent="0.25"/>
  <cols>
    <col min="1" max="1" width="6.42578125" customWidth="1"/>
    <col min="2" max="2" width="13.140625" customWidth="1"/>
    <col min="3" max="3" width="20" customWidth="1"/>
    <col min="4" max="4" width="21.42578125" customWidth="1"/>
    <col min="5" max="5" width="38.85546875" customWidth="1"/>
    <col min="6" max="6" width="27.5703125" customWidth="1"/>
    <col min="7" max="7" width="21.7109375" customWidth="1"/>
    <col min="8" max="8" width="16.140625" customWidth="1"/>
    <col min="9" max="9" width="35.5703125" customWidth="1"/>
  </cols>
  <sheetData>
    <row r="2" spans="1:9" ht="21" customHeight="1" x14ac:dyDescent="0.25">
      <c r="A2" s="31" t="s">
        <v>136</v>
      </c>
      <c r="B2" s="31" t="s">
        <v>137</v>
      </c>
      <c r="C2" s="31" t="s">
        <v>138</v>
      </c>
      <c r="D2" s="31" t="s">
        <v>139</v>
      </c>
      <c r="E2" s="31" t="s">
        <v>140</v>
      </c>
      <c r="F2" s="31" t="s">
        <v>141</v>
      </c>
      <c r="G2" s="31" t="s">
        <v>142</v>
      </c>
      <c r="H2" s="31" t="s">
        <v>143</v>
      </c>
      <c r="I2" s="31" t="s">
        <v>144</v>
      </c>
    </row>
    <row r="3" spans="1:9" ht="42.75" customHeight="1" x14ac:dyDescent="0.25">
      <c r="A3" s="23">
        <v>1</v>
      </c>
      <c r="B3" s="32">
        <v>45922</v>
      </c>
      <c r="C3" s="33" t="s">
        <v>145</v>
      </c>
      <c r="D3" s="33" t="s">
        <v>146</v>
      </c>
      <c r="E3" s="33" t="s">
        <v>147</v>
      </c>
      <c r="F3" s="33" t="s">
        <v>148</v>
      </c>
      <c r="G3" s="33" t="s">
        <v>149</v>
      </c>
      <c r="H3" s="33"/>
      <c r="I3" s="33"/>
    </row>
    <row r="4" spans="1:9" ht="42.75" customHeight="1" x14ac:dyDescent="0.25">
      <c r="A4" s="23">
        <v>2</v>
      </c>
      <c r="B4" s="32">
        <v>45923</v>
      </c>
      <c r="C4" s="33" t="s">
        <v>145</v>
      </c>
      <c r="D4" s="33" t="s">
        <v>146</v>
      </c>
      <c r="E4" s="33" t="s">
        <v>147</v>
      </c>
      <c r="F4" s="33" t="s">
        <v>148</v>
      </c>
      <c r="G4" s="33" t="s">
        <v>149</v>
      </c>
      <c r="H4" s="33"/>
      <c r="I4" s="33"/>
    </row>
    <row r="5" spans="1:9" x14ac:dyDescent="0.25">
      <c r="A5" s="23">
        <v>3</v>
      </c>
      <c r="B5" s="32">
        <v>45924</v>
      </c>
      <c r="C5" s="33" t="s">
        <v>145</v>
      </c>
      <c r="D5" s="33" t="s">
        <v>146</v>
      </c>
      <c r="E5" s="33"/>
      <c r="F5" s="33" t="s">
        <v>148</v>
      </c>
      <c r="G5" s="33" t="s">
        <v>149</v>
      </c>
      <c r="H5" s="33"/>
      <c r="I5" s="34"/>
    </row>
    <row r="6" spans="1:9" x14ac:dyDescent="0.25">
      <c r="A6" s="23">
        <v>4</v>
      </c>
      <c r="B6" s="32">
        <v>45925</v>
      </c>
      <c r="C6" s="33" t="s">
        <v>145</v>
      </c>
      <c r="D6" s="33" t="s">
        <v>146</v>
      </c>
      <c r="E6" s="33"/>
      <c r="F6" s="33" t="s">
        <v>148</v>
      </c>
      <c r="G6" s="33" t="s">
        <v>149</v>
      </c>
      <c r="H6" s="33"/>
      <c r="I6" s="33"/>
    </row>
    <row r="7" spans="1:9" x14ac:dyDescent="0.25">
      <c r="A7" s="23">
        <v>5</v>
      </c>
      <c r="B7" s="32">
        <v>45926</v>
      </c>
      <c r="C7" s="33" t="s">
        <v>145</v>
      </c>
      <c r="D7" s="33" t="s">
        <v>146</v>
      </c>
      <c r="E7" s="33"/>
      <c r="F7" s="33" t="s">
        <v>148</v>
      </c>
      <c r="G7" s="33" t="s">
        <v>149</v>
      </c>
      <c r="H7" s="33"/>
      <c r="I7" s="33"/>
    </row>
    <row r="8" spans="1:9" ht="35.25" customHeight="1" x14ac:dyDescent="0.25">
      <c r="A8" s="23"/>
      <c r="B8" s="32"/>
      <c r="C8" s="33"/>
      <c r="D8" s="23"/>
      <c r="E8" s="33"/>
      <c r="F8" s="23"/>
      <c r="G8" s="23"/>
      <c r="H8" s="23"/>
      <c r="I8" s="34"/>
    </row>
    <row r="9" spans="1:9" x14ac:dyDescent="0.25">
      <c r="A9" s="23"/>
      <c r="B9" s="32"/>
      <c r="C9" s="33"/>
      <c r="D9" s="33"/>
      <c r="E9" s="33"/>
      <c r="F9" s="33"/>
      <c r="G9" s="33"/>
      <c r="H9" s="33"/>
      <c r="I9" s="34"/>
    </row>
    <row r="10" spans="1:9" x14ac:dyDescent="0.25">
      <c r="A10" s="23"/>
      <c r="B10" s="32"/>
      <c r="C10" s="23"/>
      <c r="D10" s="23"/>
      <c r="E10" s="33"/>
      <c r="F10" s="33"/>
      <c r="G10" s="33"/>
      <c r="H10" s="33"/>
      <c r="I10" s="33"/>
    </row>
    <row r="11" spans="1:9" x14ac:dyDescent="0.25">
      <c r="A11" s="23"/>
      <c r="B11" s="32"/>
      <c r="C11" s="33"/>
      <c r="D11" s="23"/>
      <c r="E11" s="33"/>
      <c r="F11" s="33"/>
      <c r="G11" s="33"/>
      <c r="H11" s="33"/>
      <c r="I11" s="33"/>
    </row>
    <row r="12" spans="1:9" x14ac:dyDescent="0.25">
      <c r="A12" s="23"/>
      <c r="B12" s="32"/>
      <c r="C12" s="33"/>
      <c r="D12" s="33"/>
      <c r="E12" s="33"/>
      <c r="F12" s="33"/>
      <c r="G12" s="33"/>
      <c r="H12" s="33"/>
      <c r="I12" s="33"/>
    </row>
    <row r="13" spans="1:9" ht="33.75" customHeight="1" x14ac:dyDescent="0.25">
      <c r="A13" s="23"/>
      <c r="B13" s="32"/>
      <c r="C13" s="33"/>
      <c r="D13" s="23"/>
      <c r="E13" s="33"/>
      <c r="F13" s="23"/>
      <c r="G13" s="23"/>
      <c r="H13" s="23"/>
      <c r="I13" s="33"/>
    </row>
    <row r="14" spans="1:9" x14ac:dyDescent="0.25">
      <c r="A14" s="23"/>
      <c r="B14" s="32"/>
      <c r="C14" s="23"/>
      <c r="D14" s="23"/>
      <c r="E14" s="23"/>
      <c r="F14" s="23"/>
      <c r="G14" s="23"/>
      <c r="H14" s="23"/>
      <c r="I14" s="33"/>
    </row>
    <row r="15" spans="1:9" x14ac:dyDescent="0.25">
      <c r="A15" s="23"/>
      <c r="B15" s="32"/>
      <c r="C15" s="23"/>
      <c r="D15" s="23"/>
      <c r="E15" s="23"/>
      <c r="F15" s="23"/>
      <c r="G15" s="23"/>
      <c r="H15" s="23"/>
      <c r="I15" s="33"/>
    </row>
    <row r="16" spans="1:9" x14ac:dyDescent="0.25">
      <c r="A16" s="23"/>
      <c r="B16" s="32"/>
      <c r="C16" s="33"/>
      <c r="D16" s="23"/>
      <c r="E16" s="9"/>
      <c r="F16" s="23"/>
      <c r="G16" s="23"/>
      <c r="H16" s="23"/>
      <c r="I16" s="33"/>
    </row>
    <row r="17" spans="1:9" x14ac:dyDescent="0.25">
      <c r="A17" s="23"/>
      <c r="B17" s="32"/>
      <c r="C17" s="33"/>
      <c r="D17" s="23"/>
      <c r="E17" s="33"/>
      <c r="F17" s="23"/>
      <c r="G17" s="23"/>
      <c r="H17" s="23"/>
      <c r="I17" s="33"/>
    </row>
    <row r="18" spans="1:9" x14ac:dyDescent="0.25">
      <c r="A18" s="23"/>
      <c r="B18" s="32"/>
      <c r="C18" s="33"/>
      <c r="D18" s="33"/>
      <c r="E18" s="33"/>
      <c r="F18" s="33"/>
      <c r="G18" s="33"/>
      <c r="H18" s="33"/>
      <c r="I18" s="33"/>
    </row>
    <row r="19" spans="1:9" x14ac:dyDescent="0.25">
      <c r="A19" s="23"/>
      <c r="B19" s="32"/>
      <c r="C19" s="23"/>
      <c r="D19" s="23"/>
      <c r="E19" s="33"/>
      <c r="F19" s="33"/>
      <c r="G19" s="33"/>
      <c r="H19" s="33"/>
      <c r="I19" s="33"/>
    </row>
    <row r="20" spans="1:9" x14ac:dyDescent="0.25">
      <c r="A20" s="23"/>
      <c r="B20" s="32"/>
      <c r="C20" s="33"/>
      <c r="D20" s="23"/>
      <c r="E20" s="33"/>
      <c r="F20" s="33"/>
      <c r="G20" s="33"/>
      <c r="H20" s="33"/>
      <c r="I20" s="33"/>
    </row>
    <row r="21" spans="1:9" x14ac:dyDescent="0.25">
      <c r="A21" s="23"/>
      <c r="B21" s="32"/>
      <c r="C21" s="33"/>
      <c r="D21" s="23"/>
      <c r="E21" s="33"/>
      <c r="F21" s="23"/>
      <c r="G21" s="23"/>
      <c r="H21" s="23"/>
      <c r="I21" s="33"/>
    </row>
    <row r="22" spans="1:9" x14ac:dyDescent="0.25">
      <c r="A22" s="23"/>
      <c r="B22" s="32"/>
      <c r="C22" s="33"/>
      <c r="D22" s="33"/>
      <c r="E22" s="33"/>
      <c r="F22" s="33"/>
      <c r="G22" s="33"/>
      <c r="H22" s="33"/>
      <c r="I22" s="33"/>
    </row>
    <row r="23" spans="1:9" x14ac:dyDescent="0.25">
      <c r="A23" s="23"/>
      <c r="B23" s="32"/>
      <c r="C23" s="23"/>
      <c r="D23" s="23"/>
      <c r="E23" s="33"/>
      <c r="F23" s="33"/>
      <c r="G23" s="33"/>
      <c r="H23" s="33"/>
      <c r="I23" s="33"/>
    </row>
    <row r="24" spans="1:9" x14ac:dyDescent="0.25">
      <c r="A24" s="23"/>
      <c r="B24" s="32"/>
      <c r="C24" s="33"/>
      <c r="D24" s="23"/>
      <c r="E24" s="33"/>
      <c r="F24" s="33"/>
      <c r="G24" s="33"/>
      <c r="H24" s="33"/>
      <c r="I24" s="33"/>
    </row>
    <row r="25" spans="1:9" x14ac:dyDescent="0.25">
      <c r="A25" s="23"/>
      <c r="B25" s="32"/>
      <c r="C25" s="33"/>
      <c r="D25" s="23"/>
      <c r="E25" s="33"/>
      <c r="F25" s="23"/>
      <c r="G25" s="23"/>
      <c r="H25" s="23"/>
      <c r="I25" s="33"/>
    </row>
    <row r="26" spans="1:9" x14ac:dyDescent="0.25">
      <c r="A26" s="23"/>
      <c r="B26" s="32"/>
      <c r="C26" s="23"/>
      <c r="D26" s="23"/>
      <c r="E26" s="23"/>
      <c r="F26" s="23"/>
      <c r="G26" s="23"/>
      <c r="H26" s="23"/>
      <c r="I26" s="33"/>
    </row>
    <row r="27" spans="1:9" x14ac:dyDescent="0.25">
      <c r="A27" s="23"/>
      <c r="B27" s="32"/>
      <c r="C27" s="23"/>
      <c r="D27" s="23"/>
      <c r="E27" s="33"/>
      <c r="F27" s="23"/>
      <c r="G27" s="23"/>
      <c r="H27" s="23"/>
      <c r="I27" s="33"/>
    </row>
    <row r="28" spans="1:9" x14ac:dyDescent="0.25">
      <c r="A28" s="23"/>
      <c r="B28" s="32"/>
      <c r="C28" s="33"/>
      <c r="D28" s="33"/>
      <c r="E28" s="33"/>
      <c r="F28" s="33"/>
      <c r="G28" s="33"/>
      <c r="H28" s="33"/>
      <c r="I28" s="33"/>
    </row>
    <row r="29" spans="1:9" x14ac:dyDescent="0.25">
      <c r="A29" s="23"/>
      <c r="B29" s="32"/>
      <c r="C29" s="33"/>
      <c r="D29" s="33"/>
      <c r="E29" s="33"/>
      <c r="F29" s="33"/>
      <c r="G29" s="33"/>
      <c r="H29" s="33"/>
      <c r="I29" s="33"/>
    </row>
    <row r="30" spans="1:9" x14ac:dyDescent="0.25">
      <c r="A30" s="23"/>
      <c r="B30" s="32"/>
      <c r="C30" s="33"/>
      <c r="D30" s="33"/>
      <c r="E30" s="33"/>
      <c r="F30" s="33"/>
      <c r="G30" s="33"/>
      <c r="H30" s="33"/>
      <c r="I30" s="33"/>
    </row>
    <row r="31" spans="1:9" x14ac:dyDescent="0.25">
      <c r="A31" s="23"/>
      <c r="B31" s="32"/>
      <c r="C31" s="35"/>
      <c r="D31" s="23"/>
      <c r="E31" s="33"/>
      <c r="F31" s="23"/>
      <c r="G31" s="23"/>
      <c r="H31" s="23"/>
      <c r="I31" s="33"/>
    </row>
    <row r="32" spans="1:9" x14ac:dyDescent="0.25">
      <c r="A32" s="23"/>
      <c r="B32" s="32"/>
      <c r="C32" s="34"/>
      <c r="D32" s="34"/>
      <c r="E32" s="34"/>
      <c r="F32" s="34"/>
      <c r="G32" s="34"/>
      <c r="H32" s="34"/>
      <c r="I32" s="33"/>
    </row>
    <row r="33" spans="1:9" x14ac:dyDescent="0.25">
      <c r="A33" s="23"/>
      <c r="B33" s="32"/>
      <c r="C33" s="34"/>
      <c r="D33" s="34"/>
      <c r="E33" s="34"/>
      <c r="F33" s="34"/>
      <c r="G33" s="34"/>
      <c r="H33" s="34"/>
      <c r="I33" s="33"/>
    </row>
    <row r="34" spans="1:9" x14ac:dyDescent="0.25">
      <c r="A34" s="23"/>
      <c r="B34" s="32"/>
      <c r="C34" s="33"/>
      <c r="D34" s="33"/>
      <c r="E34" s="33"/>
      <c r="F34" s="33"/>
      <c r="G34" s="33"/>
      <c r="H34" s="33"/>
      <c r="I34" s="33"/>
    </row>
    <row r="35" spans="1:9" x14ac:dyDescent="0.25">
      <c r="A35" s="23"/>
      <c r="B35" s="32"/>
      <c r="C35" s="34"/>
      <c r="D35" s="23"/>
      <c r="E35" s="33"/>
      <c r="F35" s="33"/>
      <c r="G35" s="33"/>
      <c r="H35" s="33"/>
      <c r="I35" s="33"/>
    </row>
    <row r="36" spans="1:9" x14ac:dyDescent="0.25">
      <c r="A36" s="23"/>
      <c r="B36" s="32"/>
      <c r="C36" s="33"/>
      <c r="D36" s="23"/>
      <c r="E36" s="33"/>
      <c r="F36" s="23"/>
      <c r="G36" s="23"/>
      <c r="H36" s="23"/>
      <c r="I36" s="33"/>
    </row>
    <row r="37" spans="1:9" x14ac:dyDescent="0.25">
      <c r="A37" s="23"/>
      <c r="B37" s="32"/>
      <c r="C37" s="33"/>
      <c r="D37" s="33"/>
      <c r="E37" s="33"/>
      <c r="F37" s="33"/>
      <c r="G37" s="33"/>
      <c r="H37" s="33"/>
      <c r="I37" s="33"/>
    </row>
    <row r="38" spans="1:9" x14ac:dyDescent="0.25">
      <c r="A38" s="23"/>
      <c r="B38" s="32"/>
      <c r="C38" s="34"/>
      <c r="D38" s="34"/>
      <c r="E38" s="34"/>
      <c r="F38" s="34"/>
      <c r="G38" s="34"/>
      <c r="H38" s="34"/>
      <c r="I38" s="33"/>
    </row>
    <row r="39" spans="1:9" x14ac:dyDescent="0.25">
      <c r="A39" s="23"/>
      <c r="B39" s="32"/>
      <c r="C39" s="34"/>
      <c r="D39" s="34"/>
      <c r="E39" s="34"/>
      <c r="F39" s="34"/>
      <c r="G39" s="34"/>
      <c r="H39" s="34"/>
      <c r="I39" s="23"/>
    </row>
    <row r="40" spans="1:9" x14ac:dyDescent="0.25">
      <c r="A40" s="23"/>
      <c r="B40" s="32"/>
      <c r="C40" s="35"/>
      <c r="D40" s="23"/>
      <c r="E40" s="33"/>
      <c r="F40" s="33"/>
      <c r="G40" s="33"/>
      <c r="H40" s="33"/>
      <c r="I40" s="23"/>
    </row>
    <row r="41" spans="1:9" x14ac:dyDescent="0.25">
      <c r="A41" s="23"/>
      <c r="B41" s="32"/>
      <c r="C41" s="34"/>
      <c r="D41" s="34"/>
      <c r="E41" s="34"/>
      <c r="F41" s="34"/>
      <c r="G41" s="34"/>
      <c r="H41" s="33"/>
      <c r="I41" s="23"/>
    </row>
    <row r="42" spans="1:9" x14ac:dyDescent="0.25">
      <c r="A42" s="23"/>
      <c r="B42" s="32"/>
      <c r="C42" s="34"/>
      <c r="D42" s="34"/>
      <c r="E42" s="34"/>
      <c r="F42" s="34"/>
      <c r="G42" s="34"/>
      <c r="H42" s="34"/>
      <c r="I42" s="23"/>
    </row>
  </sheetData>
  <dataValidations count="5">
    <dataValidation type="list" allowBlank="1" showInputMessage="1" showErrorMessage="1" sqref="H3:H13 H16:H25 H28:H42" xr:uid="{BEB1C879-4395-4EA5-88DB-28B01DE27A4D}">
      <formula1>Estado</formula1>
    </dataValidation>
    <dataValidation type="list" allowBlank="1" showInputMessage="1" showErrorMessage="1" sqref="G3:G13 G16:G25 G28:G42" xr:uid="{09ED1314-CE0C-4CC9-AE11-87F28817FC60}">
      <formula1>Institucion</formula1>
    </dataValidation>
    <dataValidation type="list" allowBlank="1" showInputMessage="1" showErrorMessage="1" sqref="F28:F42 F16:F25 F3:F13" xr:uid="{D8AB82CC-B7C9-479A-9DBF-2131465ECCED}">
      <formula1>SistemaServicio</formula1>
    </dataValidation>
    <dataValidation type="list" allowBlank="1" showInputMessage="1" showErrorMessage="1" sqref="D11:D13 D28:D34 D24:D25 D16:D18 D20:D22 D36:D42 D3:D9" xr:uid="{CE78BB30-DCD6-4F50-BE9C-ECB72385A2EF}">
      <formula1>TipoActividad</formula1>
    </dataValidation>
    <dataValidation type="list" allowBlank="1" showInputMessage="1" showErrorMessage="1" sqref="C11:C13 C24:C25 C3:C9 C16:C18 C20:C22 C28:C42" xr:uid="{B2598059-E7ED-4EA3-AB0E-CD950F3D7887}">
      <formula1>Responsable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6BC77-6C59-49FE-B658-15F897A2B2D5}">
  <dimension ref="A1:H10"/>
  <sheetViews>
    <sheetView view="pageBreakPreview" zoomScale="60" zoomScaleNormal="100" workbookViewId="0">
      <selection activeCell="B9" sqref="B9"/>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31.57031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133</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54.75" customHeight="1" x14ac:dyDescent="0.25">
      <c r="A6" s="17">
        <v>1</v>
      </c>
      <c r="B6" s="30" t="s">
        <v>128</v>
      </c>
      <c r="C6" s="30" t="s">
        <v>128</v>
      </c>
      <c r="D6" s="29">
        <v>45865</v>
      </c>
      <c r="E6" s="29">
        <v>45866</v>
      </c>
      <c r="F6" s="27">
        <v>0</v>
      </c>
      <c r="G6" s="21"/>
      <c r="H6" s="21" t="s">
        <v>130</v>
      </c>
    </row>
    <row r="7" spans="1:8" ht="40.5" x14ac:dyDescent="0.25">
      <c r="A7" s="17"/>
      <c r="B7" s="18" t="s">
        <v>129</v>
      </c>
      <c r="C7" s="18" t="s">
        <v>129</v>
      </c>
      <c r="D7" s="19">
        <v>45867</v>
      </c>
      <c r="E7" s="19">
        <v>45868</v>
      </c>
      <c r="F7" s="27"/>
      <c r="G7" s="22"/>
      <c r="H7" s="21" t="s">
        <v>130</v>
      </c>
    </row>
    <row r="8" spans="1:8" ht="63.75" customHeight="1" x14ac:dyDescent="0.25">
      <c r="A8" s="17"/>
      <c r="B8" s="18" t="s">
        <v>132</v>
      </c>
      <c r="C8" s="18"/>
      <c r="D8" s="19"/>
      <c r="E8" s="19"/>
      <c r="F8" s="27"/>
      <c r="G8" s="22"/>
      <c r="H8" s="21" t="s">
        <v>131</v>
      </c>
    </row>
    <row r="9" spans="1:8" ht="59.25" customHeight="1" x14ac:dyDescent="0.25">
      <c r="A9" s="17"/>
      <c r="B9" s="18" t="s">
        <v>134</v>
      </c>
      <c r="C9" s="18"/>
      <c r="D9" s="19"/>
      <c r="E9" s="19"/>
      <c r="F9" s="27"/>
      <c r="G9" s="22"/>
      <c r="H9" s="21" t="s">
        <v>135</v>
      </c>
    </row>
    <row r="10" spans="1:8" ht="44.25" customHeight="1" x14ac:dyDescent="0.25">
      <c r="A10" s="23"/>
      <c r="B10" s="18"/>
      <c r="C10" s="18"/>
      <c r="D10" s="19"/>
      <c r="E10" s="19"/>
      <c r="F10" s="27"/>
      <c r="G10" s="26"/>
      <c r="H10" s="21"/>
    </row>
  </sheetData>
  <mergeCells count="1">
    <mergeCell ref="A1:H1"/>
  </mergeCells>
  <pageMargins left="0.7" right="0.7" top="0.75" bottom="0.75" header="0.3" footer="0.3"/>
  <pageSetup paperSize="9" scale="87"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204A-6A32-48E0-B6BB-00FC8D0D2B1A}">
  <dimension ref="A1:H10"/>
  <sheetViews>
    <sheetView view="pageBreakPreview" zoomScale="60" zoomScaleNormal="100" workbookViewId="0">
      <selection activeCell="B6" sqref="B6"/>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124</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54.75" customHeight="1" x14ac:dyDescent="0.25">
      <c r="A6" s="17">
        <v>1</v>
      </c>
      <c r="B6" s="18" t="s">
        <v>125</v>
      </c>
      <c r="C6" s="18" t="s">
        <v>126</v>
      </c>
      <c r="D6" s="29">
        <v>45838</v>
      </c>
      <c r="E6" s="29">
        <v>45838</v>
      </c>
      <c r="F6" s="27">
        <v>0</v>
      </c>
      <c r="G6" s="21"/>
      <c r="H6" s="21"/>
    </row>
    <row r="7" spans="1:8" ht="29.25" customHeight="1" x14ac:dyDescent="0.25">
      <c r="A7" s="17"/>
      <c r="B7" s="18" t="s">
        <v>125</v>
      </c>
      <c r="C7" s="18" t="s">
        <v>127</v>
      </c>
      <c r="D7" s="19">
        <v>45839</v>
      </c>
      <c r="E7" s="19">
        <v>45840</v>
      </c>
      <c r="F7" s="27"/>
      <c r="G7" s="22"/>
      <c r="H7" s="21"/>
    </row>
    <row r="8" spans="1:8" ht="63.75" customHeight="1" x14ac:dyDescent="0.25">
      <c r="A8" s="17"/>
      <c r="B8" s="18"/>
      <c r="C8" s="18"/>
      <c r="D8" s="19"/>
      <c r="E8" s="19"/>
      <c r="F8" s="27"/>
      <c r="G8" s="22"/>
      <c r="H8" s="21"/>
    </row>
    <row r="9" spans="1:8" ht="59.25" customHeight="1" x14ac:dyDescent="0.25">
      <c r="A9" s="17"/>
      <c r="B9" s="18"/>
      <c r="C9" s="18"/>
      <c r="D9" s="19"/>
      <c r="E9" s="19"/>
      <c r="F9" s="27"/>
      <c r="G9" s="22"/>
      <c r="H9" s="21"/>
    </row>
    <row r="10" spans="1:8" ht="44.25" customHeight="1" x14ac:dyDescent="0.25">
      <c r="A10" s="23"/>
      <c r="B10" s="18"/>
      <c r="C10" s="18"/>
      <c r="D10" s="19"/>
      <c r="E10" s="19"/>
      <c r="F10" s="27"/>
      <c r="G10" s="26"/>
      <c r="H10" s="21"/>
    </row>
  </sheetData>
  <mergeCells count="1">
    <mergeCell ref="A1:H1"/>
  </mergeCells>
  <pageMargins left="0.7" right="0.7" top="0.75" bottom="0.75" header="0.3" footer="0.3"/>
  <pageSetup paperSize="9" scale="87"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3184-E8CE-4BD9-A61A-E5611C42284D}">
  <dimension ref="A1:H10"/>
  <sheetViews>
    <sheetView view="pageBreakPreview" zoomScale="60" zoomScaleNormal="100" workbookViewId="0">
      <selection activeCell="B7" sqref="B7"/>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123</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108.75" customHeight="1" x14ac:dyDescent="0.25">
      <c r="A6" s="17">
        <v>1</v>
      </c>
      <c r="B6" s="18" t="s">
        <v>121</v>
      </c>
      <c r="C6" s="18" t="s">
        <v>122</v>
      </c>
      <c r="D6" s="19">
        <v>45719</v>
      </c>
      <c r="E6" s="19">
        <v>45723</v>
      </c>
      <c r="F6" s="27">
        <v>0</v>
      </c>
      <c r="G6" s="21"/>
      <c r="H6" s="21"/>
    </row>
    <row r="7" spans="1:8" ht="53.25" customHeight="1" x14ac:dyDescent="0.25">
      <c r="A7" s="17">
        <v>2</v>
      </c>
      <c r="B7" s="18" t="s">
        <v>120</v>
      </c>
      <c r="C7" s="18" t="s">
        <v>122</v>
      </c>
      <c r="D7" s="19">
        <v>45726</v>
      </c>
      <c r="E7" s="19">
        <v>45730</v>
      </c>
      <c r="F7" s="27">
        <v>0</v>
      </c>
      <c r="G7" s="22"/>
      <c r="H7" s="21"/>
    </row>
    <row r="8" spans="1:8" ht="63.75" customHeight="1" x14ac:dyDescent="0.25">
      <c r="A8" s="17">
        <v>3</v>
      </c>
      <c r="B8" s="18" t="s">
        <v>119</v>
      </c>
      <c r="C8" s="18" t="s">
        <v>122</v>
      </c>
      <c r="D8" s="19">
        <v>45733</v>
      </c>
      <c r="E8" s="19">
        <v>45737</v>
      </c>
      <c r="F8" s="27">
        <v>0</v>
      </c>
      <c r="G8" s="22"/>
      <c r="H8" s="21"/>
    </row>
    <row r="9" spans="1:8" ht="59.25" customHeight="1" x14ac:dyDescent="0.25">
      <c r="A9" s="17">
        <v>4</v>
      </c>
      <c r="B9" s="18" t="s">
        <v>118</v>
      </c>
      <c r="C9" s="18" t="s">
        <v>122</v>
      </c>
      <c r="D9" s="19">
        <v>45740</v>
      </c>
      <c r="E9" s="19">
        <v>45744</v>
      </c>
      <c r="F9" s="27">
        <v>0</v>
      </c>
      <c r="G9" s="22"/>
      <c r="H9" s="21"/>
    </row>
    <row r="10" spans="1:8" ht="44.25" customHeight="1" x14ac:dyDescent="0.25">
      <c r="A10" s="23">
        <v>5</v>
      </c>
      <c r="B10" s="18" t="s">
        <v>117</v>
      </c>
      <c r="C10" s="18" t="s">
        <v>122</v>
      </c>
      <c r="D10" s="19">
        <v>45747</v>
      </c>
      <c r="E10" s="19">
        <v>45751</v>
      </c>
      <c r="F10" s="27">
        <v>0</v>
      </c>
      <c r="G10" s="26"/>
      <c r="H10" s="21"/>
    </row>
  </sheetData>
  <mergeCells count="1">
    <mergeCell ref="A1:H1"/>
  </mergeCells>
  <pageMargins left="0.7" right="0.7" top="0.75" bottom="0.75" header="0.3" footer="0.3"/>
  <pageSetup paperSize="9" scale="8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2820-F862-469F-B93F-3ABA5EA05EE9}">
  <dimension ref="A1:H10"/>
  <sheetViews>
    <sheetView view="pageBreakPreview" zoomScale="60" zoomScaleNormal="100" workbookViewId="0">
      <selection activeCell="F6" sqref="F6"/>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109</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108.75" customHeight="1" x14ac:dyDescent="0.25">
      <c r="A6" s="17">
        <v>1</v>
      </c>
      <c r="B6" s="18" t="s">
        <v>106</v>
      </c>
      <c r="C6" s="18" t="s">
        <v>107</v>
      </c>
      <c r="D6" s="19">
        <v>45712</v>
      </c>
      <c r="E6" s="19" t="s">
        <v>202</v>
      </c>
      <c r="F6" s="27">
        <v>0</v>
      </c>
      <c r="G6" s="21"/>
      <c r="H6" s="21"/>
    </row>
    <row r="7" spans="1:8" ht="53.25" customHeight="1" x14ac:dyDescent="0.25">
      <c r="A7" s="17">
        <v>2</v>
      </c>
      <c r="B7" s="18" t="s">
        <v>111</v>
      </c>
      <c r="C7" s="18" t="s">
        <v>116</v>
      </c>
      <c r="D7" s="19">
        <v>45713</v>
      </c>
      <c r="E7" s="19">
        <f>D7</f>
        <v>45713</v>
      </c>
      <c r="F7" s="27">
        <v>0</v>
      </c>
      <c r="G7" s="22"/>
      <c r="H7" s="21"/>
    </row>
    <row r="8" spans="1:8" ht="63.75" customHeight="1" x14ac:dyDescent="0.25">
      <c r="A8" s="17">
        <v>3</v>
      </c>
      <c r="B8" s="18" t="s">
        <v>115</v>
      </c>
      <c r="C8" s="18" t="s">
        <v>112</v>
      </c>
      <c r="D8" s="19">
        <v>45714</v>
      </c>
      <c r="E8" s="19">
        <f>D8</f>
        <v>45714</v>
      </c>
      <c r="F8" s="27">
        <v>0</v>
      </c>
      <c r="G8" s="22"/>
      <c r="H8" s="21"/>
    </row>
    <row r="9" spans="1:8" ht="59.25" customHeight="1" x14ac:dyDescent="0.25">
      <c r="A9" s="17">
        <v>4</v>
      </c>
      <c r="B9" s="18" t="s">
        <v>111</v>
      </c>
      <c r="C9" s="28" t="s">
        <v>113</v>
      </c>
      <c r="D9" s="19">
        <v>45715</v>
      </c>
      <c r="E9" s="19">
        <f>D9</f>
        <v>45715</v>
      </c>
      <c r="F9" s="27">
        <v>0</v>
      </c>
      <c r="G9" s="22"/>
      <c r="H9" s="21"/>
    </row>
    <row r="10" spans="1:8" ht="44.25" customHeight="1" x14ac:dyDescent="0.25">
      <c r="A10" s="23">
        <v>5</v>
      </c>
      <c r="B10" s="18" t="s">
        <v>108</v>
      </c>
      <c r="C10" s="18" t="s">
        <v>114</v>
      </c>
      <c r="D10" s="19">
        <v>45716</v>
      </c>
      <c r="E10" s="19">
        <f>D10</f>
        <v>45716</v>
      </c>
      <c r="F10" s="27">
        <v>0</v>
      </c>
      <c r="G10" s="26"/>
      <c r="H10" s="21"/>
    </row>
  </sheetData>
  <mergeCells count="1">
    <mergeCell ref="A1:H1"/>
  </mergeCells>
  <pageMargins left="0.7" right="0.7" top="0.75" bottom="0.75" header="0.3" footer="0.3"/>
  <pageSetup paperSize="9" scale="8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3F3D9-0415-4DD7-BCDE-641721DD743F}">
  <dimension ref="A1:H10"/>
  <sheetViews>
    <sheetView view="pageBreakPreview" zoomScale="60" zoomScaleNormal="100" workbookViewId="0">
      <selection activeCell="E9" sqref="E9"/>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105</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108.75" customHeight="1" x14ac:dyDescent="0.25">
      <c r="A6" s="17">
        <v>1</v>
      </c>
      <c r="B6" s="18" t="s">
        <v>106</v>
      </c>
      <c r="C6" s="18" t="s">
        <v>107</v>
      </c>
      <c r="D6" s="19">
        <v>45705</v>
      </c>
      <c r="E6" s="19">
        <f>D6</f>
        <v>45705</v>
      </c>
      <c r="F6" s="27">
        <v>0</v>
      </c>
      <c r="G6" s="21"/>
      <c r="H6" s="21"/>
    </row>
    <row r="7" spans="1:8" ht="53.25" customHeight="1" x14ac:dyDescent="0.25">
      <c r="A7" s="17">
        <v>2</v>
      </c>
      <c r="B7" s="18" t="s">
        <v>76</v>
      </c>
      <c r="C7" s="18" t="s">
        <v>76</v>
      </c>
      <c r="D7" s="19">
        <v>45706</v>
      </c>
      <c r="E7" s="19">
        <f>D7</f>
        <v>45706</v>
      </c>
      <c r="F7" s="27">
        <v>0</v>
      </c>
      <c r="G7" s="21" t="s">
        <v>110</v>
      </c>
      <c r="H7" s="21"/>
    </row>
    <row r="8" spans="1:8" ht="63.75" customHeight="1" x14ac:dyDescent="0.25">
      <c r="A8" s="17">
        <v>3</v>
      </c>
      <c r="B8" s="18" t="s">
        <v>76</v>
      </c>
      <c r="C8" s="18" t="s">
        <v>76</v>
      </c>
      <c r="D8" s="19">
        <v>45707</v>
      </c>
      <c r="E8" s="19">
        <f>D8</f>
        <v>45707</v>
      </c>
      <c r="F8" s="27">
        <v>0</v>
      </c>
      <c r="G8" s="22"/>
      <c r="H8" s="21"/>
    </row>
    <row r="9" spans="1:8" ht="59.25" customHeight="1" x14ac:dyDescent="0.25">
      <c r="A9" s="17">
        <v>4</v>
      </c>
      <c r="B9" s="18" t="s">
        <v>76</v>
      </c>
      <c r="C9" s="18" t="s">
        <v>76</v>
      </c>
      <c r="D9" s="19">
        <v>45708</v>
      </c>
      <c r="E9" s="19">
        <f>D9</f>
        <v>45708</v>
      </c>
      <c r="F9" s="27">
        <v>0</v>
      </c>
      <c r="G9" s="22"/>
      <c r="H9" s="21"/>
    </row>
    <row r="10" spans="1:8" ht="44.25" customHeight="1" x14ac:dyDescent="0.25">
      <c r="A10" s="23">
        <v>5</v>
      </c>
      <c r="B10" s="18" t="s">
        <v>108</v>
      </c>
      <c r="C10" s="18" t="s">
        <v>108</v>
      </c>
      <c r="D10" s="19">
        <v>45709</v>
      </c>
      <c r="E10" s="19">
        <f>D10</f>
        <v>45709</v>
      </c>
      <c r="F10" s="27">
        <v>0</v>
      </c>
      <c r="G10" s="26"/>
      <c r="H10" s="21"/>
    </row>
  </sheetData>
  <mergeCells count="1">
    <mergeCell ref="A1:H1"/>
  </mergeCells>
  <pageMargins left="0.7" right="0.7" top="0.75" bottom="0.75" header="0.3" footer="0.3"/>
  <pageSetup paperSize="9" scale="87"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638A-A12B-4F12-A877-C15FB4F23CFA}">
  <dimension ref="A1:H10"/>
  <sheetViews>
    <sheetView view="pageBreakPreview" topLeftCell="A4" zoomScale="60" zoomScaleNormal="100" workbookViewId="0">
      <selection activeCell="H6" sqref="H6:H9"/>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104</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108.75" customHeight="1" x14ac:dyDescent="0.25">
      <c r="A6" s="17">
        <v>1</v>
      </c>
      <c r="B6" s="18" t="s">
        <v>76</v>
      </c>
      <c r="C6" s="18" t="s">
        <v>76</v>
      </c>
      <c r="D6" s="19">
        <v>45698</v>
      </c>
      <c r="E6" s="19">
        <f>D6</f>
        <v>45698</v>
      </c>
      <c r="F6" s="27">
        <v>0</v>
      </c>
      <c r="G6" s="21"/>
      <c r="H6" s="21"/>
    </row>
    <row r="7" spans="1:8" ht="53.25" customHeight="1" x14ac:dyDescent="0.25">
      <c r="A7" s="17">
        <v>2</v>
      </c>
      <c r="B7" s="18" t="s">
        <v>76</v>
      </c>
      <c r="C7" s="18" t="s">
        <v>76</v>
      </c>
      <c r="D7" s="19">
        <v>45699</v>
      </c>
      <c r="E7" s="19">
        <f>D7</f>
        <v>45699</v>
      </c>
      <c r="F7" s="27">
        <v>0</v>
      </c>
      <c r="G7" s="22"/>
      <c r="H7" s="21"/>
    </row>
    <row r="8" spans="1:8" ht="63.75" customHeight="1" x14ac:dyDescent="0.25">
      <c r="A8" s="17">
        <v>3</v>
      </c>
      <c r="B8" s="18" t="s">
        <v>76</v>
      </c>
      <c r="C8" s="18" t="s">
        <v>76</v>
      </c>
      <c r="D8" s="19">
        <v>45700</v>
      </c>
      <c r="E8" s="19">
        <f>D8</f>
        <v>45700</v>
      </c>
      <c r="F8" s="27">
        <v>0</v>
      </c>
      <c r="G8" s="22"/>
      <c r="H8" s="21"/>
    </row>
    <row r="9" spans="1:8" ht="59.25" customHeight="1" x14ac:dyDescent="0.25">
      <c r="A9" s="17">
        <v>4</v>
      </c>
      <c r="B9" s="18" t="s">
        <v>76</v>
      </c>
      <c r="C9" s="18" t="s">
        <v>76</v>
      </c>
      <c r="D9" s="19">
        <v>45701</v>
      </c>
      <c r="E9" s="19">
        <f>D9</f>
        <v>45701</v>
      </c>
      <c r="F9" s="27">
        <v>0</v>
      </c>
      <c r="G9" s="22"/>
      <c r="H9" s="21"/>
    </row>
    <row r="10" spans="1:8" ht="44.25" customHeight="1" x14ac:dyDescent="0.25">
      <c r="A10" s="23">
        <v>5</v>
      </c>
      <c r="B10" s="18" t="s">
        <v>76</v>
      </c>
      <c r="C10" s="18" t="s">
        <v>76</v>
      </c>
      <c r="D10" s="19">
        <v>45702</v>
      </c>
      <c r="E10" s="19">
        <f>D10</f>
        <v>45702</v>
      </c>
      <c r="F10" s="27">
        <v>0</v>
      </c>
      <c r="G10" s="26"/>
      <c r="H10" s="21"/>
    </row>
  </sheetData>
  <mergeCells count="1">
    <mergeCell ref="A1:H1"/>
  </mergeCells>
  <pageMargins left="0.7" right="0.7" top="0.75" bottom="0.75" header="0.3" footer="0.3"/>
  <pageSetup paperSize="9" scale="87"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0107-4771-45B9-8A8D-338F20E8CC73}">
  <dimension ref="A1:H10"/>
  <sheetViews>
    <sheetView view="pageBreakPreview" zoomScale="60" zoomScaleNormal="100" workbookViewId="0">
      <selection activeCell="E8" sqref="E8"/>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100</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108.75" customHeight="1" x14ac:dyDescent="0.25">
      <c r="A6" s="17">
        <v>1</v>
      </c>
      <c r="B6" s="24" t="s">
        <v>90</v>
      </c>
      <c r="C6" s="18" t="s">
        <v>95</v>
      </c>
      <c r="D6" s="19">
        <v>45691</v>
      </c>
      <c r="E6" s="19">
        <f>D6</f>
        <v>45691</v>
      </c>
      <c r="F6" s="27">
        <v>0</v>
      </c>
      <c r="G6" s="21"/>
      <c r="H6" s="21" t="s">
        <v>102</v>
      </c>
    </row>
    <row r="7" spans="1:8" ht="53.25" customHeight="1" x14ac:dyDescent="0.25">
      <c r="A7" s="17">
        <v>2</v>
      </c>
      <c r="B7" s="24" t="s">
        <v>90</v>
      </c>
      <c r="C7" s="18" t="s">
        <v>96</v>
      </c>
      <c r="D7" s="19">
        <v>45692</v>
      </c>
      <c r="E7" s="19">
        <f>D7</f>
        <v>45692</v>
      </c>
      <c r="F7" s="27">
        <v>0</v>
      </c>
      <c r="G7" s="22"/>
      <c r="H7" s="21"/>
    </row>
    <row r="8" spans="1:8" ht="63.75" customHeight="1" x14ac:dyDescent="0.25">
      <c r="A8" s="17">
        <v>3</v>
      </c>
      <c r="B8" s="24" t="s">
        <v>90</v>
      </c>
      <c r="C8" s="18" t="s">
        <v>97</v>
      </c>
      <c r="D8" s="19">
        <v>45693</v>
      </c>
      <c r="E8" s="19">
        <f>D8</f>
        <v>45693</v>
      </c>
      <c r="F8" s="27">
        <v>0</v>
      </c>
      <c r="G8" s="22"/>
      <c r="H8" s="21"/>
    </row>
    <row r="9" spans="1:8" ht="59.25" customHeight="1" x14ac:dyDescent="0.25">
      <c r="A9" s="17">
        <v>4</v>
      </c>
      <c r="B9" s="24" t="s">
        <v>90</v>
      </c>
      <c r="C9" s="18" t="s">
        <v>98</v>
      </c>
      <c r="D9" s="19">
        <v>45694</v>
      </c>
      <c r="E9" s="19">
        <f>D9</f>
        <v>45694</v>
      </c>
      <c r="F9" s="27">
        <v>0</v>
      </c>
      <c r="G9" s="22"/>
      <c r="H9" s="21" t="s">
        <v>103</v>
      </c>
    </row>
    <row r="10" spans="1:8" ht="44.25" customHeight="1" x14ac:dyDescent="0.25">
      <c r="A10" s="23">
        <v>5</v>
      </c>
      <c r="B10" s="18" t="s">
        <v>76</v>
      </c>
      <c r="C10" s="24" t="s">
        <v>101</v>
      </c>
      <c r="D10" s="19">
        <v>45695</v>
      </c>
      <c r="E10" s="19">
        <f>D10</f>
        <v>45695</v>
      </c>
      <c r="F10" s="27">
        <v>0</v>
      </c>
      <c r="G10" s="26"/>
      <c r="H10" s="21"/>
    </row>
  </sheetData>
  <mergeCells count="1">
    <mergeCell ref="A1:H1"/>
  </mergeCells>
  <pageMargins left="0.7" right="0.7" top="0.75" bottom="0.75" header="0.3" footer="0.3"/>
  <pageSetup paperSize="9" scale="8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AEE7-7BC9-44E3-AA2A-68FC1083F415}">
  <dimension ref="A1:H10"/>
  <sheetViews>
    <sheetView tabSelected="1" view="pageBreakPreview" topLeftCell="A7" zoomScale="60" zoomScaleNormal="100" workbookViewId="0">
      <selection activeCell="H10" sqref="H10"/>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94</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108.75" customHeight="1" x14ac:dyDescent="0.25">
      <c r="A6" s="17">
        <v>1</v>
      </c>
      <c r="B6" s="24" t="s">
        <v>90</v>
      </c>
      <c r="C6" s="18" t="s">
        <v>95</v>
      </c>
      <c r="D6" s="19">
        <v>45684</v>
      </c>
      <c r="E6" s="19">
        <f>D6</f>
        <v>45684</v>
      </c>
      <c r="F6" s="27">
        <v>0</v>
      </c>
      <c r="G6" s="21"/>
      <c r="H6" s="21"/>
    </row>
    <row r="7" spans="1:8" ht="53.25" customHeight="1" x14ac:dyDescent="0.25">
      <c r="A7" s="17">
        <v>2</v>
      </c>
      <c r="B7" s="24" t="s">
        <v>90</v>
      </c>
      <c r="C7" s="18" t="s">
        <v>96</v>
      </c>
      <c r="D7" s="19">
        <v>45685</v>
      </c>
      <c r="E7" s="19">
        <f>D7</f>
        <v>45685</v>
      </c>
      <c r="F7" s="27">
        <v>0</v>
      </c>
      <c r="G7" s="22"/>
      <c r="H7" s="21"/>
    </row>
    <row r="8" spans="1:8" ht="63.75" customHeight="1" x14ac:dyDescent="0.25">
      <c r="A8" s="17">
        <v>3</v>
      </c>
      <c r="B8" s="24" t="s">
        <v>90</v>
      </c>
      <c r="C8" s="18" t="s">
        <v>97</v>
      </c>
      <c r="D8" s="19">
        <v>45686</v>
      </c>
      <c r="E8" s="19">
        <f>D8</f>
        <v>45686</v>
      </c>
      <c r="F8" s="27">
        <v>0</v>
      </c>
      <c r="G8" s="22"/>
      <c r="H8" s="21"/>
    </row>
    <row r="9" spans="1:8" ht="59.25" customHeight="1" x14ac:dyDescent="0.25">
      <c r="A9" s="17">
        <v>4</v>
      </c>
      <c r="B9" s="24" t="s">
        <v>90</v>
      </c>
      <c r="C9" s="18" t="s">
        <v>98</v>
      </c>
      <c r="D9" s="19">
        <v>45687</v>
      </c>
      <c r="E9" s="19">
        <f>D9</f>
        <v>45687</v>
      </c>
      <c r="F9" s="27">
        <v>0</v>
      </c>
      <c r="G9" s="22"/>
      <c r="H9" s="21"/>
    </row>
    <row r="10" spans="1:8" ht="44.25" customHeight="1" x14ac:dyDescent="0.25">
      <c r="A10" s="23">
        <v>5</v>
      </c>
      <c r="B10" s="18" t="s">
        <v>76</v>
      </c>
      <c r="C10" s="24"/>
      <c r="D10" s="19">
        <v>45688</v>
      </c>
      <c r="E10" s="19">
        <f>D10</f>
        <v>45688</v>
      </c>
      <c r="F10" s="27">
        <v>0</v>
      </c>
      <c r="G10" s="26"/>
      <c r="H10" s="21" t="s">
        <v>99</v>
      </c>
    </row>
  </sheetData>
  <mergeCells count="1">
    <mergeCell ref="A1:H1"/>
  </mergeCells>
  <pageMargins left="0.7" right="0.7" top="0.75" bottom="0.75" header="0.3" footer="0.3"/>
  <pageSetup paperSize="9" scale="87"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2459-9AD8-4C84-B8DE-1E8B631966E1}">
  <dimension ref="A1:H10"/>
  <sheetViews>
    <sheetView view="pageBreakPreview" topLeftCell="A7" zoomScaleNormal="100" zoomScaleSheetLayoutView="100" workbookViewId="0">
      <selection activeCell="C9" sqref="C9"/>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93</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108.75" customHeight="1" x14ac:dyDescent="0.25">
      <c r="A6" s="17">
        <v>1</v>
      </c>
      <c r="B6" s="18" t="s">
        <v>76</v>
      </c>
      <c r="C6" s="18" t="s">
        <v>85</v>
      </c>
      <c r="D6" s="19">
        <v>45677</v>
      </c>
      <c r="E6" s="19">
        <f>D6</f>
        <v>45677</v>
      </c>
      <c r="F6" s="27">
        <v>0</v>
      </c>
      <c r="G6" s="21"/>
      <c r="H6" s="21" t="s">
        <v>92</v>
      </c>
    </row>
    <row r="7" spans="1:8" ht="53.25" customHeight="1" x14ac:dyDescent="0.25">
      <c r="A7" s="17">
        <v>2</v>
      </c>
      <c r="B7" s="24" t="s">
        <v>87</v>
      </c>
      <c r="C7" s="18" t="s">
        <v>88</v>
      </c>
      <c r="D7" s="19">
        <v>45678</v>
      </c>
      <c r="E7" s="19">
        <f>D7</f>
        <v>45678</v>
      </c>
      <c r="F7" s="27">
        <v>0</v>
      </c>
      <c r="G7" s="22"/>
      <c r="H7" s="21"/>
    </row>
    <row r="8" spans="1:8" ht="103.5" customHeight="1" x14ac:dyDescent="0.25">
      <c r="A8" s="17">
        <v>3</v>
      </c>
      <c r="B8" s="24" t="s">
        <v>86</v>
      </c>
      <c r="C8" s="18" t="s">
        <v>89</v>
      </c>
      <c r="D8" s="19">
        <v>45679</v>
      </c>
      <c r="E8" s="19">
        <f>D8</f>
        <v>45679</v>
      </c>
      <c r="F8" s="27">
        <v>0</v>
      </c>
      <c r="G8" s="22"/>
      <c r="H8" s="21"/>
    </row>
    <row r="9" spans="1:8" ht="59.25" customHeight="1" x14ac:dyDescent="0.25">
      <c r="A9" s="17">
        <v>4</v>
      </c>
      <c r="B9" s="24" t="s">
        <v>90</v>
      </c>
      <c r="C9" s="18" t="s">
        <v>91</v>
      </c>
      <c r="D9" s="19">
        <v>45680</v>
      </c>
      <c r="E9" s="19">
        <f>D9</f>
        <v>45680</v>
      </c>
      <c r="F9" s="27">
        <v>0</v>
      </c>
      <c r="G9" s="22"/>
      <c r="H9" s="21"/>
    </row>
    <row r="10" spans="1:8" ht="44.25" customHeight="1" x14ac:dyDescent="0.25">
      <c r="A10" s="23">
        <v>5</v>
      </c>
      <c r="B10" s="24" t="s">
        <v>90</v>
      </c>
      <c r="C10" s="24"/>
      <c r="D10" s="19">
        <v>45681</v>
      </c>
      <c r="E10" s="19">
        <f>D10</f>
        <v>45681</v>
      </c>
      <c r="F10" s="27">
        <v>0</v>
      </c>
      <c r="G10" s="26"/>
      <c r="H10" s="21"/>
    </row>
  </sheetData>
  <mergeCells count="1">
    <mergeCell ref="A1:H1"/>
  </mergeCells>
  <pageMargins left="0.7" right="0.7" top="0.75" bottom="0.75" header="0.3" footer="0.3"/>
  <pageSetup paperSize="9" scale="8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9CBE-1312-487C-96BC-A097A1B29C0A}">
  <dimension ref="A1:H10"/>
  <sheetViews>
    <sheetView view="pageBreakPreview" zoomScale="60" zoomScaleNormal="100" workbookViewId="0">
      <selection activeCell="C10" sqref="C10"/>
    </sheetView>
  </sheetViews>
  <sheetFormatPr baseColWidth="10" defaultRowHeight="15" x14ac:dyDescent="0.25"/>
  <cols>
    <col min="1" max="1" width="11.28515625" customWidth="1"/>
    <col min="2" max="2" width="27.5703125" bestFit="1" customWidth="1"/>
    <col min="3" max="3" width="29.28515625" customWidth="1"/>
    <col min="4" max="4" width="24.85546875" customWidth="1"/>
    <col min="5" max="5" width="17.28515625" bestFit="1" customWidth="1"/>
    <col min="6" max="6" width="12.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72</v>
      </c>
      <c r="C2" s="1"/>
      <c r="D2" s="2"/>
      <c r="E2" s="2"/>
      <c r="F2" s="2"/>
      <c r="G2" s="2"/>
      <c r="H2" s="2"/>
    </row>
    <row r="3" spans="1:8" x14ac:dyDescent="0.25">
      <c r="A3" s="4" t="s">
        <v>8</v>
      </c>
      <c r="B3" s="1" t="s">
        <v>75</v>
      </c>
    </row>
    <row r="4" spans="1:8" x14ac:dyDescent="0.25">
      <c r="A4" s="1"/>
      <c r="B4" s="1"/>
      <c r="C4" s="1"/>
      <c r="D4" s="1"/>
      <c r="E4" s="1"/>
      <c r="F4" s="1"/>
      <c r="G4" s="1"/>
      <c r="H4" s="1"/>
    </row>
    <row r="5" spans="1:8" x14ac:dyDescent="0.25">
      <c r="A5" s="3" t="s">
        <v>1</v>
      </c>
      <c r="B5" s="3" t="s">
        <v>2</v>
      </c>
      <c r="C5" s="3" t="s">
        <v>17</v>
      </c>
      <c r="D5" s="3" t="s">
        <v>10</v>
      </c>
      <c r="E5" s="3" t="s">
        <v>4</v>
      </c>
      <c r="F5" s="3" t="s">
        <v>77</v>
      </c>
      <c r="G5" s="3" t="s">
        <v>5</v>
      </c>
      <c r="H5" s="3" t="s">
        <v>6</v>
      </c>
    </row>
    <row r="6" spans="1:8" ht="57.75" customHeight="1" x14ac:dyDescent="0.25">
      <c r="A6" s="17">
        <v>1</v>
      </c>
      <c r="B6" s="18" t="s">
        <v>76</v>
      </c>
      <c r="C6" s="18" t="s">
        <v>80</v>
      </c>
      <c r="D6" s="19">
        <v>45670</v>
      </c>
      <c r="E6" s="19">
        <f>D6</f>
        <v>45670</v>
      </c>
      <c r="F6" s="27">
        <v>0</v>
      </c>
      <c r="G6" s="21"/>
      <c r="H6" s="21"/>
    </row>
    <row r="7" spans="1:8" ht="53.25" customHeight="1" x14ac:dyDescent="0.25">
      <c r="A7" s="17">
        <v>2</v>
      </c>
      <c r="B7" s="18" t="s">
        <v>78</v>
      </c>
      <c r="C7" s="18" t="s">
        <v>79</v>
      </c>
      <c r="D7" s="19">
        <v>45671</v>
      </c>
      <c r="E7" s="19">
        <f>D7</f>
        <v>45671</v>
      </c>
      <c r="F7" s="27">
        <v>0</v>
      </c>
      <c r="G7" s="22"/>
      <c r="H7" s="21"/>
    </row>
    <row r="8" spans="1:8" ht="54.75" customHeight="1" x14ac:dyDescent="0.25">
      <c r="A8" s="17">
        <v>3</v>
      </c>
      <c r="B8" s="18" t="s">
        <v>76</v>
      </c>
      <c r="C8" s="18" t="s">
        <v>81</v>
      </c>
      <c r="D8" s="19">
        <v>45672</v>
      </c>
      <c r="E8" s="19">
        <f>D8</f>
        <v>45672</v>
      </c>
      <c r="F8" s="27">
        <v>0</v>
      </c>
      <c r="G8" s="22"/>
      <c r="H8" s="21" t="s">
        <v>84</v>
      </c>
    </row>
    <row r="9" spans="1:8" ht="59.25" customHeight="1" x14ac:dyDescent="0.25">
      <c r="A9" s="17">
        <v>4</v>
      </c>
      <c r="B9" s="18" t="s">
        <v>76</v>
      </c>
      <c r="C9" s="18" t="s">
        <v>81</v>
      </c>
      <c r="D9" s="19">
        <v>45673</v>
      </c>
      <c r="E9" s="19">
        <f>D9</f>
        <v>45673</v>
      </c>
      <c r="F9" s="27">
        <v>0</v>
      </c>
      <c r="G9" s="22"/>
      <c r="H9" s="21"/>
    </row>
    <row r="10" spans="1:8" ht="44.25" customHeight="1" x14ac:dyDescent="0.25">
      <c r="A10" s="23">
        <v>5</v>
      </c>
      <c r="B10" s="24" t="s">
        <v>83</v>
      </c>
      <c r="C10" s="24" t="s">
        <v>82</v>
      </c>
      <c r="D10" s="19">
        <v>45674</v>
      </c>
      <c r="E10" s="19">
        <f>D10</f>
        <v>45674</v>
      </c>
      <c r="F10" s="27">
        <v>0</v>
      </c>
      <c r="G10" s="26"/>
      <c r="H10" s="21"/>
    </row>
  </sheetData>
  <mergeCells count="1">
    <mergeCell ref="A1:H1"/>
  </mergeCells>
  <pageMargins left="0.7" right="0.7" top="0.75" bottom="0.75" header="0.3" footer="0.3"/>
  <pageSetup paperSize="9" scale="87"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EABB4-7E7C-4CCB-9902-57464CF892AF}">
  <dimension ref="A1:H10"/>
  <sheetViews>
    <sheetView view="pageBreakPreview" zoomScale="60" zoomScaleNormal="100" workbookViewId="0">
      <selection activeCell="B9" sqref="B9"/>
    </sheetView>
  </sheetViews>
  <sheetFormatPr baseColWidth="10" defaultRowHeight="15" x14ac:dyDescent="0.25"/>
  <cols>
    <col min="1" max="1" width="11.28515625" customWidth="1"/>
    <col min="2" max="2" width="27.5703125" bestFit="1" customWidth="1"/>
    <col min="3" max="3" width="29.28515625" customWidth="1"/>
    <col min="4" max="4" width="13.7109375" bestFit="1" customWidth="1"/>
    <col min="5" max="5" width="17.28515625" bestFit="1" customWidth="1"/>
    <col min="7" max="7" width="14.140625" bestFit="1" customWidth="1"/>
    <col min="8" max="8" width="13.28515625" customWidth="1"/>
  </cols>
  <sheetData>
    <row r="1" spans="1:8" x14ac:dyDescent="0.25">
      <c r="A1" s="36" t="s">
        <v>59</v>
      </c>
      <c r="B1" s="36"/>
      <c r="C1" s="36"/>
      <c r="D1" s="36"/>
      <c r="E1" s="36"/>
      <c r="F1" s="36"/>
      <c r="G1" s="36"/>
      <c r="H1" s="36"/>
    </row>
    <row r="2" spans="1:8" x14ac:dyDescent="0.25">
      <c r="A2" s="4" t="s">
        <v>7</v>
      </c>
      <c r="B2" s="1" t="s">
        <v>72</v>
      </c>
      <c r="C2" s="1"/>
      <c r="D2" s="2"/>
      <c r="E2" s="2"/>
      <c r="F2" s="2"/>
      <c r="G2" s="2"/>
      <c r="H2" s="2"/>
    </row>
    <row r="3" spans="1:8" x14ac:dyDescent="0.25">
      <c r="A3" s="4" t="s">
        <v>8</v>
      </c>
      <c r="B3" s="1" t="s">
        <v>71</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57.75" customHeight="1" x14ac:dyDescent="0.25">
      <c r="A6" s="17">
        <v>1</v>
      </c>
      <c r="B6" s="18" t="s">
        <v>68</v>
      </c>
      <c r="C6" s="18" t="s">
        <v>38</v>
      </c>
      <c r="D6" s="19">
        <v>45404</v>
      </c>
      <c r="E6" s="20">
        <v>1</v>
      </c>
      <c r="F6" s="19">
        <f>D6</f>
        <v>45404</v>
      </c>
      <c r="G6" s="21"/>
      <c r="H6" s="21"/>
    </row>
    <row r="7" spans="1:8" ht="53.25" customHeight="1" x14ac:dyDescent="0.25">
      <c r="A7" s="17">
        <v>2</v>
      </c>
      <c r="B7" s="18" t="s">
        <v>68</v>
      </c>
      <c r="C7" s="18" t="s">
        <v>39</v>
      </c>
      <c r="D7" s="19">
        <v>45405</v>
      </c>
      <c r="E7" s="20">
        <v>1</v>
      </c>
      <c r="F7" s="19">
        <f>D7</f>
        <v>45405</v>
      </c>
      <c r="G7" s="21" t="s">
        <v>73</v>
      </c>
      <c r="H7" s="21"/>
    </row>
    <row r="8" spans="1:8" ht="54.75" customHeight="1" x14ac:dyDescent="0.25">
      <c r="A8" s="17">
        <v>3</v>
      </c>
      <c r="B8" s="18" t="s">
        <v>61</v>
      </c>
      <c r="C8" s="18" t="s">
        <v>38</v>
      </c>
      <c r="D8" s="19">
        <v>45406</v>
      </c>
      <c r="E8" s="20">
        <v>0.5</v>
      </c>
      <c r="F8" s="19">
        <f>D8</f>
        <v>45406</v>
      </c>
      <c r="G8" s="22"/>
      <c r="H8" s="21"/>
    </row>
    <row r="9" spans="1:8" ht="59.25" customHeight="1" x14ac:dyDescent="0.25">
      <c r="A9" s="17">
        <v>4</v>
      </c>
      <c r="B9" s="18" t="s">
        <v>69</v>
      </c>
      <c r="C9" s="18" t="s">
        <v>70</v>
      </c>
      <c r="D9" s="19">
        <v>45407</v>
      </c>
      <c r="E9" s="20">
        <v>1</v>
      </c>
      <c r="F9" s="19">
        <f>D9</f>
        <v>45407</v>
      </c>
      <c r="G9" s="22"/>
      <c r="H9" s="21"/>
    </row>
    <row r="10" spans="1:8" ht="44.25" customHeight="1" x14ac:dyDescent="0.25">
      <c r="A10" s="23">
        <v>5</v>
      </c>
      <c r="B10" s="24" t="s">
        <v>67</v>
      </c>
      <c r="C10" s="18" t="s">
        <v>56</v>
      </c>
      <c r="D10" s="19">
        <v>45408</v>
      </c>
      <c r="E10" s="25">
        <v>0</v>
      </c>
      <c r="F10" s="19">
        <f>D10</f>
        <v>45408</v>
      </c>
      <c r="G10" s="26" t="s">
        <v>74</v>
      </c>
      <c r="H10" s="21"/>
    </row>
  </sheetData>
  <mergeCells count="1">
    <mergeCell ref="A1:H1"/>
  </mergeCells>
  <pageMargins left="0.7" right="0.7" top="0.75" bottom="0.75" header="0.3" footer="0.3"/>
  <pageSetup paperSize="9" scale="92"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9C48B-5BC5-41DD-AAE9-816B4A3579ED}">
  <dimension ref="A1:H10"/>
  <sheetViews>
    <sheetView view="pageBreakPreview" zoomScale="60" zoomScaleNormal="100" workbookViewId="0">
      <selection sqref="A1:H1"/>
    </sheetView>
  </sheetViews>
  <sheetFormatPr baseColWidth="10" defaultRowHeight="15" x14ac:dyDescent="0.25"/>
  <cols>
    <col min="1" max="1" width="11.28515625" customWidth="1"/>
    <col min="2" max="2" width="27.5703125" bestFit="1" customWidth="1"/>
    <col min="3" max="3" width="29.28515625" customWidth="1"/>
    <col min="4" max="4" width="13.7109375" bestFit="1" customWidth="1"/>
    <col min="5" max="5" width="17.28515625" bestFit="1" customWidth="1"/>
    <col min="7" max="7" width="14.140625" bestFit="1" customWidth="1"/>
    <col min="8" max="8" width="13.28515625" customWidth="1"/>
  </cols>
  <sheetData>
    <row r="1" spans="1:8" x14ac:dyDescent="0.25">
      <c r="A1" s="36" t="s">
        <v>0</v>
      </c>
      <c r="B1" s="36"/>
      <c r="C1" s="36"/>
      <c r="D1" s="36"/>
      <c r="E1" s="36"/>
      <c r="F1" s="36"/>
      <c r="G1" s="36"/>
      <c r="H1" s="36"/>
    </row>
    <row r="2" spans="1:8" x14ac:dyDescent="0.25">
      <c r="A2" s="4" t="s">
        <v>7</v>
      </c>
      <c r="B2" s="1" t="s">
        <v>9</v>
      </c>
      <c r="C2" s="1"/>
      <c r="D2" s="2"/>
      <c r="E2" s="2"/>
      <c r="F2" s="2"/>
      <c r="G2" s="2"/>
      <c r="H2" s="2"/>
    </row>
    <row r="3" spans="1:8" x14ac:dyDescent="0.25">
      <c r="A3" s="4" t="s">
        <v>8</v>
      </c>
      <c r="B3" s="1" t="s">
        <v>71</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57.75" customHeight="1" x14ac:dyDescent="0.25">
      <c r="A6" s="17">
        <v>1</v>
      </c>
      <c r="B6" s="18" t="s">
        <v>68</v>
      </c>
      <c r="C6" s="18" t="s">
        <v>38</v>
      </c>
      <c r="D6" s="19">
        <v>45404</v>
      </c>
      <c r="E6" s="20">
        <v>0</v>
      </c>
      <c r="F6" s="19">
        <f>D6</f>
        <v>45404</v>
      </c>
      <c r="G6" s="21"/>
      <c r="H6" s="21"/>
    </row>
    <row r="7" spans="1:8" ht="53.25" customHeight="1" x14ac:dyDescent="0.25">
      <c r="A7" s="17">
        <v>2</v>
      </c>
      <c r="B7" s="18" t="s">
        <v>68</v>
      </c>
      <c r="C7" s="18" t="s">
        <v>39</v>
      </c>
      <c r="D7" s="19">
        <v>45405</v>
      </c>
      <c r="E7" s="20">
        <v>0</v>
      </c>
      <c r="F7" s="19">
        <f>D7</f>
        <v>45405</v>
      </c>
      <c r="G7" s="22"/>
      <c r="H7" s="21"/>
    </row>
    <row r="8" spans="1:8" ht="54.75" customHeight="1" x14ac:dyDescent="0.25">
      <c r="A8" s="17">
        <v>3</v>
      </c>
      <c r="B8" s="18" t="s">
        <v>61</v>
      </c>
      <c r="C8" s="18" t="s">
        <v>38</v>
      </c>
      <c r="D8" s="19">
        <v>45406</v>
      </c>
      <c r="E8" s="20">
        <v>0</v>
      </c>
      <c r="F8" s="19">
        <f>D8</f>
        <v>45406</v>
      </c>
      <c r="G8" s="22"/>
      <c r="H8" s="21"/>
    </row>
    <row r="9" spans="1:8" ht="59.25" customHeight="1" x14ac:dyDescent="0.25">
      <c r="A9" s="17">
        <v>4</v>
      </c>
      <c r="B9" s="18" t="s">
        <v>69</v>
      </c>
      <c r="C9" s="18" t="s">
        <v>70</v>
      </c>
      <c r="D9" s="19">
        <v>45407</v>
      </c>
      <c r="E9" s="20">
        <v>0</v>
      </c>
      <c r="F9" s="19">
        <f>D9</f>
        <v>45407</v>
      </c>
      <c r="G9" s="22"/>
      <c r="H9" s="21"/>
    </row>
    <row r="10" spans="1:8" ht="44.25" customHeight="1" x14ac:dyDescent="0.25">
      <c r="A10" s="23">
        <v>5</v>
      </c>
      <c r="B10" s="24" t="s">
        <v>67</v>
      </c>
      <c r="C10" s="18" t="s">
        <v>56</v>
      </c>
      <c r="D10" s="19">
        <v>45408</v>
      </c>
      <c r="E10" s="25">
        <v>0</v>
      </c>
      <c r="F10" s="19">
        <f>D10</f>
        <v>45408</v>
      </c>
      <c r="G10" s="26"/>
      <c r="H10" s="21"/>
    </row>
  </sheetData>
  <mergeCells count="1">
    <mergeCell ref="A1:H1"/>
  </mergeCells>
  <pageMargins left="0.7" right="0.7" top="0.75" bottom="0.75" header="0.3" footer="0.3"/>
  <pageSetup paperSize="9" scale="92"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53C8A-BA52-4578-86E0-113E68384951}">
  <dimension ref="A1:H10"/>
  <sheetViews>
    <sheetView view="pageBreakPreview" zoomScale="60" zoomScaleNormal="100" workbookViewId="0">
      <selection activeCell="B10" sqref="B10"/>
    </sheetView>
  </sheetViews>
  <sheetFormatPr baseColWidth="10" defaultRowHeight="15" x14ac:dyDescent="0.25"/>
  <cols>
    <col min="1" max="1" width="8.28515625" customWidth="1"/>
    <col min="2" max="2" width="21.7109375" customWidth="1"/>
    <col min="3" max="3" width="29.28515625" customWidth="1"/>
    <col min="4" max="4" width="13.7109375" bestFit="1" customWidth="1"/>
    <col min="5" max="5" width="17.28515625" bestFit="1" customWidth="1"/>
    <col min="7" max="7" width="14.140625" bestFit="1" customWidth="1"/>
    <col min="8" max="8" width="17.140625" customWidth="1"/>
  </cols>
  <sheetData>
    <row r="1" spans="1:8" x14ac:dyDescent="0.25">
      <c r="A1" s="36" t="s">
        <v>59</v>
      </c>
      <c r="B1" s="36"/>
      <c r="C1" s="36"/>
      <c r="D1" s="36"/>
      <c r="E1" s="36"/>
      <c r="F1" s="36"/>
      <c r="G1" s="36"/>
      <c r="H1" s="36"/>
    </row>
    <row r="2" spans="1:8" x14ac:dyDescent="0.25">
      <c r="A2" s="4" t="s">
        <v>7</v>
      </c>
      <c r="B2" s="1" t="s">
        <v>9</v>
      </c>
      <c r="C2" s="1"/>
      <c r="D2" s="2"/>
      <c r="E2" s="2"/>
      <c r="F2" s="2"/>
      <c r="G2" s="2"/>
      <c r="H2" s="2"/>
    </row>
    <row r="3" spans="1:8" x14ac:dyDescent="0.25">
      <c r="A3" s="4" t="s">
        <v>8</v>
      </c>
      <c r="B3" s="1" t="s">
        <v>63</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57.75" customHeight="1" x14ac:dyDescent="0.25">
      <c r="A6" s="11">
        <v>1</v>
      </c>
      <c r="B6" s="7" t="s">
        <v>55</v>
      </c>
      <c r="C6" s="7" t="s">
        <v>38</v>
      </c>
      <c r="D6" s="6">
        <v>45404</v>
      </c>
      <c r="E6" s="13">
        <v>1</v>
      </c>
      <c r="F6" s="6">
        <f>D6</f>
        <v>45404</v>
      </c>
      <c r="G6" s="14"/>
      <c r="H6" s="14" t="s">
        <v>62</v>
      </c>
    </row>
    <row r="7" spans="1:8" ht="53.25" customHeight="1" x14ac:dyDescent="0.25">
      <c r="A7" s="11">
        <v>2</v>
      </c>
      <c r="B7" s="7" t="s">
        <v>61</v>
      </c>
      <c r="C7" s="7" t="s">
        <v>39</v>
      </c>
      <c r="D7" s="6">
        <v>45405</v>
      </c>
      <c r="E7" s="13">
        <v>0.5</v>
      </c>
      <c r="F7" s="6">
        <f>D7</f>
        <v>45405</v>
      </c>
      <c r="G7" s="5"/>
      <c r="H7" s="14" t="s">
        <v>62</v>
      </c>
    </row>
    <row r="8" spans="1:8" ht="54.75" customHeight="1" x14ac:dyDescent="0.25">
      <c r="A8" s="11">
        <v>3</v>
      </c>
      <c r="B8" s="7" t="s">
        <v>65</v>
      </c>
      <c r="C8" s="7" t="s">
        <v>38</v>
      </c>
      <c r="D8" s="6">
        <v>45406</v>
      </c>
      <c r="E8" s="13">
        <v>1</v>
      </c>
      <c r="F8" s="6">
        <f>D8</f>
        <v>45406</v>
      </c>
      <c r="G8" s="5"/>
      <c r="H8" s="14"/>
    </row>
    <row r="9" spans="1:8" ht="59.25" customHeight="1" x14ac:dyDescent="0.25">
      <c r="A9" s="11">
        <v>4</v>
      </c>
      <c r="B9" s="7" t="s">
        <v>66</v>
      </c>
      <c r="C9" s="7" t="s">
        <v>39</v>
      </c>
      <c r="D9" s="6">
        <v>45407</v>
      </c>
      <c r="E9" s="13">
        <v>1</v>
      </c>
      <c r="F9" s="6">
        <f>D9</f>
        <v>45407</v>
      </c>
      <c r="G9" s="5"/>
      <c r="H9" s="14"/>
    </row>
    <row r="10" spans="1:8" ht="67.5" customHeight="1" x14ac:dyDescent="0.25">
      <c r="A10" s="12">
        <v>5</v>
      </c>
      <c r="B10" s="10" t="s">
        <v>67</v>
      </c>
      <c r="C10" s="7" t="s">
        <v>56</v>
      </c>
      <c r="D10" s="6">
        <v>45408</v>
      </c>
      <c r="E10" s="16">
        <v>1</v>
      </c>
      <c r="F10" s="6">
        <f>D10</f>
        <v>45408</v>
      </c>
      <c r="G10" s="8"/>
      <c r="H10" s="14"/>
    </row>
  </sheetData>
  <mergeCells count="1">
    <mergeCell ref="A1:H1"/>
  </mergeCells>
  <pageMargins left="0.7" right="0.7" top="0.75" bottom="0.75" header="0.3" footer="0.3"/>
  <pageSetup paperSize="9" scale="98"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1B49-1684-4FD4-B707-0D7C9C27AE9C}">
  <dimension ref="A1:H10"/>
  <sheetViews>
    <sheetView view="pageBreakPreview" zoomScale="60" zoomScaleNormal="100" workbookViewId="0">
      <selection activeCell="C20" sqref="C20"/>
    </sheetView>
  </sheetViews>
  <sheetFormatPr baseColWidth="10" defaultRowHeight="15" x14ac:dyDescent="0.25"/>
  <cols>
    <col min="1" max="1" width="8.28515625" customWidth="1"/>
    <col min="2" max="2" width="21.7109375" customWidth="1"/>
    <col min="3" max="3" width="29.28515625" customWidth="1"/>
    <col min="4" max="4" width="13.7109375" bestFit="1" customWidth="1"/>
    <col min="5" max="5" width="17.28515625" bestFit="1" customWidth="1"/>
    <col min="7" max="7" width="14.140625" bestFit="1" customWidth="1"/>
    <col min="8" max="8" width="17.140625" customWidth="1"/>
  </cols>
  <sheetData>
    <row r="1" spans="1:8" x14ac:dyDescent="0.25">
      <c r="A1" s="36" t="s">
        <v>0</v>
      </c>
      <c r="B1" s="36"/>
      <c r="C1" s="36"/>
      <c r="D1" s="36"/>
      <c r="E1" s="36"/>
      <c r="F1" s="36"/>
      <c r="G1" s="36"/>
      <c r="H1" s="36"/>
    </row>
    <row r="2" spans="1:8" x14ac:dyDescent="0.25">
      <c r="A2" s="4" t="s">
        <v>7</v>
      </c>
      <c r="B2" s="1" t="s">
        <v>9</v>
      </c>
      <c r="C2" s="1"/>
      <c r="D2" s="2"/>
      <c r="E2" s="2"/>
      <c r="F2" s="2"/>
      <c r="G2" s="2"/>
      <c r="H2" s="2"/>
    </row>
    <row r="3" spans="1:8" x14ac:dyDescent="0.25">
      <c r="A3" s="4" t="s">
        <v>8</v>
      </c>
      <c r="B3" s="1" t="s">
        <v>63</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57.75" customHeight="1" x14ac:dyDescent="0.25">
      <c r="A6" s="11">
        <v>1</v>
      </c>
      <c r="B6" s="7" t="s">
        <v>55</v>
      </c>
      <c r="C6" s="7" t="s">
        <v>38</v>
      </c>
      <c r="D6" s="6">
        <v>45404</v>
      </c>
      <c r="E6" s="13">
        <v>0</v>
      </c>
      <c r="F6" s="6">
        <f>D6</f>
        <v>45404</v>
      </c>
      <c r="G6" s="14"/>
      <c r="H6" s="14" t="s">
        <v>62</v>
      </c>
    </row>
    <row r="7" spans="1:8" ht="53.25" customHeight="1" x14ac:dyDescent="0.25">
      <c r="A7" s="11">
        <v>2</v>
      </c>
      <c r="B7" s="7" t="s">
        <v>61</v>
      </c>
      <c r="C7" s="7" t="s">
        <v>39</v>
      </c>
      <c r="D7" s="6">
        <v>45405</v>
      </c>
      <c r="E7" s="13">
        <v>0</v>
      </c>
      <c r="F7" s="6">
        <f>D7</f>
        <v>45405</v>
      </c>
      <c r="G7" s="5"/>
      <c r="H7" s="14" t="s">
        <v>62</v>
      </c>
    </row>
    <row r="8" spans="1:8" ht="54.75" customHeight="1" x14ac:dyDescent="0.25">
      <c r="A8" s="11">
        <v>3</v>
      </c>
      <c r="B8" s="7" t="s">
        <v>65</v>
      </c>
      <c r="C8" s="7" t="s">
        <v>38</v>
      </c>
      <c r="D8" s="6">
        <v>45406</v>
      </c>
      <c r="E8" s="13">
        <v>0</v>
      </c>
      <c r="F8" s="6">
        <f>D8</f>
        <v>45406</v>
      </c>
      <c r="G8" s="5"/>
      <c r="H8" s="14" t="s">
        <v>62</v>
      </c>
    </row>
    <row r="9" spans="1:8" ht="59.25" customHeight="1" x14ac:dyDescent="0.25">
      <c r="A9" s="11">
        <v>4</v>
      </c>
      <c r="B9" s="7" t="s">
        <v>66</v>
      </c>
      <c r="C9" s="7" t="s">
        <v>39</v>
      </c>
      <c r="D9" s="6">
        <v>45407</v>
      </c>
      <c r="E9" s="13">
        <v>0</v>
      </c>
      <c r="F9" s="6">
        <f>D9</f>
        <v>45407</v>
      </c>
      <c r="G9" s="5"/>
      <c r="H9" s="14" t="s">
        <v>62</v>
      </c>
    </row>
    <row r="10" spans="1:8" ht="51" customHeight="1" x14ac:dyDescent="0.25">
      <c r="A10" s="12">
        <v>5</v>
      </c>
      <c r="B10" s="10" t="s">
        <v>67</v>
      </c>
      <c r="C10" s="7" t="s">
        <v>56</v>
      </c>
      <c r="D10" s="6">
        <v>45408</v>
      </c>
      <c r="E10" s="16">
        <v>0</v>
      </c>
      <c r="F10" s="6">
        <f>D10</f>
        <v>45408</v>
      </c>
      <c r="G10" s="8"/>
      <c r="H10" s="14"/>
    </row>
  </sheetData>
  <mergeCells count="1">
    <mergeCell ref="A1:H1"/>
  </mergeCells>
  <pageMargins left="0.7" right="0.7" top="0.75" bottom="0.75" header="0.3" footer="0.3"/>
  <pageSetup paperSize="9" scale="98"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F18C2-A3B4-4875-B3E1-D07882231443}">
  <dimension ref="A1:H10"/>
  <sheetViews>
    <sheetView view="pageBreakPreview" zoomScale="60" zoomScaleNormal="100" workbookViewId="0">
      <selection activeCell="B9" sqref="B9"/>
    </sheetView>
  </sheetViews>
  <sheetFormatPr baseColWidth="10" defaultRowHeight="15" x14ac:dyDescent="0.25"/>
  <cols>
    <col min="1" max="1" width="8.28515625" customWidth="1"/>
    <col min="2" max="2" width="21.7109375" customWidth="1"/>
    <col min="3" max="3" width="29.28515625" customWidth="1"/>
    <col min="4" max="4" width="13.7109375" bestFit="1" customWidth="1"/>
    <col min="5" max="5" width="17.28515625" bestFit="1" customWidth="1"/>
    <col min="7" max="7" width="14.140625" customWidth="1"/>
    <col min="8" max="8" width="17.140625" customWidth="1"/>
  </cols>
  <sheetData>
    <row r="1" spans="1:8" x14ac:dyDescent="0.25">
      <c r="A1" s="36" t="s">
        <v>59</v>
      </c>
      <c r="B1" s="36"/>
      <c r="C1" s="36"/>
      <c r="D1" s="36"/>
      <c r="E1" s="36"/>
      <c r="F1" s="36"/>
      <c r="G1" s="36"/>
      <c r="H1" s="36"/>
    </row>
    <row r="2" spans="1:8" x14ac:dyDescent="0.25">
      <c r="A2" s="4" t="s">
        <v>7</v>
      </c>
      <c r="B2" s="1" t="s">
        <v>9</v>
      </c>
      <c r="C2" s="1"/>
      <c r="D2" s="2"/>
      <c r="E2" s="2"/>
      <c r="F2" s="2"/>
      <c r="G2" s="2"/>
      <c r="H2" s="2"/>
    </row>
    <row r="3" spans="1:8" x14ac:dyDescent="0.25">
      <c r="A3" s="4" t="s">
        <v>8</v>
      </c>
      <c r="B3" s="1" t="s">
        <v>64</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45.75" customHeight="1" x14ac:dyDescent="0.25">
      <c r="A6" s="11">
        <v>1</v>
      </c>
      <c r="B6" s="7" t="s">
        <v>57</v>
      </c>
      <c r="C6" s="7" t="s">
        <v>38</v>
      </c>
      <c r="D6" s="6">
        <v>45397</v>
      </c>
      <c r="E6" s="13">
        <v>1</v>
      </c>
      <c r="F6" s="6">
        <f>D6</f>
        <v>45397</v>
      </c>
      <c r="G6" s="14"/>
      <c r="H6" s="14" t="s">
        <v>46</v>
      </c>
    </row>
    <row r="7" spans="1:8" ht="44.25" customHeight="1" x14ac:dyDescent="0.25">
      <c r="A7" s="11">
        <v>2</v>
      </c>
      <c r="B7" s="7" t="s">
        <v>54</v>
      </c>
      <c r="C7" s="7" t="s">
        <v>39</v>
      </c>
      <c r="D7" s="6">
        <v>45398</v>
      </c>
      <c r="E7" s="16">
        <v>1</v>
      </c>
      <c r="F7" s="6">
        <f>D7</f>
        <v>45398</v>
      </c>
      <c r="G7" s="5"/>
      <c r="H7" s="14" t="s">
        <v>46</v>
      </c>
    </row>
    <row r="8" spans="1:8" ht="46.5" customHeight="1" x14ac:dyDescent="0.25">
      <c r="A8" s="11">
        <v>3</v>
      </c>
      <c r="B8" s="7" t="s">
        <v>55</v>
      </c>
      <c r="C8" s="7" t="s">
        <v>38</v>
      </c>
      <c r="D8" s="6">
        <v>45399</v>
      </c>
      <c r="E8" s="16">
        <v>1</v>
      </c>
      <c r="F8" s="6">
        <f>D8</f>
        <v>45399</v>
      </c>
      <c r="G8" s="5"/>
      <c r="H8" s="14" t="s">
        <v>46</v>
      </c>
    </row>
    <row r="9" spans="1:8" ht="48" customHeight="1" x14ac:dyDescent="0.25">
      <c r="A9" s="11">
        <v>4</v>
      </c>
      <c r="B9" s="7" t="s">
        <v>55</v>
      </c>
      <c r="C9" s="7" t="s">
        <v>39</v>
      </c>
      <c r="D9" s="6">
        <v>45400</v>
      </c>
      <c r="E9" s="16">
        <v>0.5</v>
      </c>
      <c r="F9" s="6">
        <f>D9</f>
        <v>45400</v>
      </c>
      <c r="G9" s="5"/>
      <c r="H9" s="14" t="s">
        <v>46</v>
      </c>
    </row>
    <row r="10" spans="1:8" ht="51" customHeight="1" x14ac:dyDescent="0.25">
      <c r="A10" s="12">
        <v>5</v>
      </c>
      <c r="B10" s="10" t="s">
        <v>21</v>
      </c>
      <c r="C10" s="7" t="s">
        <v>56</v>
      </c>
      <c r="D10" s="6">
        <v>45401</v>
      </c>
      <c r="E10" s="16" t="s">
        <v>60</v>
      </c>
      <c r="F10" s="6">
        <f>D10</f>
        <v>45401</v>
      </c>
      <c r="G10" s="8"/>
      <c r="H10" s="14"/>
    </row>
  </sheetData>
  <mergeCells count="1">
    <mergeCell ref="A1:H1"/>
  </mergeCells>
  <pageMargins left="0.7" right="0.7" top="0.75" bottom="0.75" header="0.3" footer="0.3"/>
  <pageSetup paperSize="9" scale="98"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42C0-5409-4916-85EA-32DEB39EAB8C}">
  <dimension ref="A1:H10"/>
  <sheetViews>
    <sheetView topLeftCell="A4" workbookViewId="0">
      <selection activeCell="E9" sqref="E9"/>
    </sheetView>
  </sheetViews>
  <sheetFormatPr baseColWidth="10" defaultRowHeight="15" x14ac:dyDescent="0.25"/>
  <cols>
    <col min="1" max="1" width="8.28515625" customWidth="1"/>
    <col min="2" max="2" width="21.7109375" customWidth="1"/>
    <col min="3" max="3" width="29.28515625" customWidth="1"/>
    <col min="4" max="4" width="13.7109375" bestFit="1" customWidth="1"/>
    <col min="5" max="5" width="17.28515625" bestFit="1" customWidth="1"/>
    <col min="7" max="7" width="14.140625" bestFit="1" customWidth="1"/>
    <col min="8" max="8" width="17.140625" customWidth="1"/>
  </cols>
  <sheetData>
    <row r="1" spans="1:8" x14ac:dyDescent="0.25">
      <c r="A1" s="36" t="s">
        <v>0</v>
      </c>
      <c r="B1" s="36"/>
      <c r="C1" s="36"/>
      <c r="D1" s="36"/>
      <c r="E1" s="36"/>
      <c r="F1" s="36"/>
      <c r="G1" s="36"/>
      <c r="H1" s="36"/>
    </row>
    <row r="2" spans="1:8" x14ac:dyDescent="0.25">
      <c r="A2" s="4" t="s">
        <v>7</v>
      </c>
      <c r="B2" s="1" t="s">
        <v>9</v>
      </c>
      <c r="C2" s="1"/>
      <c r="D2" s="2"/>
      <c r="E2" s="2"/>
      <c r="F2" s="2"/>
      <c r="G2" s="2"/>
      <c r="H2" s="2"/>
    </row>
    <row r="3" spans="1:8" x14ac:dyDescent="0.25">
      <c r="A3" s="4" t="s">
        <v>8</v>
      </c>
      <c r="B3" s="1" t="s">
        <v>58</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45.75" customHeight="1" x14ac:dyDescent="0.25">
      <c r="A6" s="11">
        <v>1</v>
      </c>
      <c r="B6" s="7" t="s">
        <v>57</v>
      </c>
      <c r="C6" s="7" t="s">
        <v>38</v>
      </c>
      <c r="D6" s="6">
        <v>45394</v>
      </c>
      <c r="E6" s="13">
        <v>0</v>
      </c>
      <c r="F6" s="6">
        <f>D6</f>
        <v>45394</v>
      </c>
      <c r="G6" s="14"/>
      <c r="H6" s="14" t="s">
        <v>46</v>
      </c>
    </row>
    <row r="7" spans="1:8" ht="44.25" customHeight="1" x14ac:dyDescent="0.25">
      <c r="A7" s="11">
        <v>2</v>
      </c>
      <c r="B7" s="7" t="s">
        <v>54</v>
      </c>
      <c r="C7" s="7" t="s">
        <v>39</v>
      </c>
      <c r="D7" s="6">
        <v>45395</v>
      </c>
      <c r="E7" s="5">
        <v>0</v>
      </c>
      <c r="F7" s="6">
        <f>D7</f>
        <v>45395</v>
      </c>
      <c r="G7" s="5"/>
      <c r="H7" s="14" t="s">
        <v>46</v>
      </c>
    </row>
    <row r="8" spans="1:8" ht="46.5" customHeight="1" x14ac:dyDescent="0.25">
      <c r="A8" s="11">
        <v>3</v>
      </c>
      <c r="B8" s="7" t="s">
        <v>55</v>
      </c>
      <c r="C8" s="7" t="s">
        <v>38</v>
      </c>
      <c r="D8" s="6">
        <v>45396</v>
      </c>
      <c r="E8" s="5">
        <v>0</v>
      </c>
      <c r="F8" s="6">
        <f>D8</f>
        <v>45396</v>
      </c>
      <c r="G8" s="5"/>
      <c r="H8" s="14" t="s">
        <v>46</v>
      </c>
    </row>
    <row r="9" spans="1:8" ht="48" customHeight="1" x14ac:dyDescent="0.25">
      <c r="A9" s="11">
        <v>4</v>
      </c>
      <c r="B9" s="7" t="s">
        <v>55</v>
      </c>
      <c r="C9" s="7" t="s">
        <v>39</v>
      </c>
      <c r="D9" s="6">
        <v>45397</v>
      </c>
      <c r="E9" s="5">
        <v>0</v>
      </c>
      <c r="F9" s="6">
        <f>D9</f>
        <v>45397</v>
      </c>
      <c r="G9" s="5"/>
      <c r="H9" s="14" t="s">
        <v>46</v>
      </c>
    </row>
    <row r="10" spans="1:8" ht="51" customHeight="1" x14ac:dyDescent="0.25">
      <c r="A10" s="12">
        <v>5</v>
      </c>
      <c r="B10" s="10" t="s">
        <v>21</v>
      </c>
      <c r="C10" s="7" t="s">
        <v>56</v>
      </c>
      <c r="D10" s="6">
        <v>45398</v>
      </c>
      <c r="E10" s="5">
        <v>0</v>
      </c>
      <c r="F10" s="6">
        <f>D10</f>
        <v>45398</v>
      </c>
      <c r="G10" s="8"/>
      <c r="H10" s="14"/>
    </row>
  </sheetData>
  <mergeCells count="1">
    <mergeCell ref="A1:H1"/>
  </mergeCells>
  <pageMargins left="0.7" right="0.7" top="0.75" bottom="0.75" header="0.3" footer="0.3"/>
  <pageSetup paperSize="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B12F-BC6D-4379-856E-C3E213EFCDEA}">
  <dimension ref="A1:H10"/>
  <sheetViews>
    <sheetView topLeftCell="A4" zoomScale="68" zoomScaleNormal="68" workbookViewId="0">
      <selection activeCell="C10" sqref="C10"/>
    </sheetView>
  </sheetViews>
  <sheetFormatPr baseColWidth="10" defaultRowHeight="15" x14ac:dyDescent="0.25"/>
  <cols>
    <col min="2" max="2" width="21.7109375" customWidth="1"/>
    <col min="3" max="3" width="29.28515625" customWidth="1"/>
    <col min="4" max="4" width="13.7109375" bestFit="1" customWidth="1"/>
    <col min="5" max="5" width="17.28515625" bestFit="1" customWidth="1"/>
    <col min="7" max="7" width="14.140625" bestFit="1" customWidth="1"/>
  </cols>
  <sheetData>
    <row r="1" spans="1:8" x14ac:dyDescent="0.25">
      <c r="A1" s="36" t="s">
        <v>59</v>
      </c>
      <c r="B1" s="36"/>
      <c r="C1" s="36"/>
      <c r="D1" s="36"/>
      <c r="E1" s="36"/>
      <c r="F1" s="36"/>
      <c r="G1" s="36"/>
      <c r="H1" s="36"/>
    </row>
    <row r="2" spans="1:8" x14ac:dyDescent="0.25">
      <c r="A2" s="4" t="s">
        <v>7</v>
      </c>
      <c r="B2" s="1" t="s">
        <v>9</v>
      </c>
      <c r="C2" s="1"/>
      <c r="D2" s="2"/>
      <c r="E2" s="2"/>
      <c r="F2" s="2"/>
      <c r="G2" s="2"/>
      <c r="H2" s="2"/>
    </row>
    <row r="3" spans="1:8" x14ac:dyDescent="0.25">
      <c r="A3" s="4" t="s">
        <v>8</v>
      </c>
      <c r="B3" s="1" t="s">
        <v>37</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82.5" customHeight="1" x14ac:dyDescent="0.25">
      <c r="A6" s="11">
        <v>1</v>
      </c>
      <c r="B6" s="7" t="s">
        <v>40</v>
      </c>
      <c r="C6" s="7" t="s">
        <v>38</v>
      </c>
      <c r="D6" s="6">
        <v>45390</v>
      </c>
      <c r="E6" s="13">
        <v>0.5</v>
      </c>
      <c r="F6" s="6">
        <f>D6</f>
        <v>45390</v>
      </c>
      <c r="G6" s="14" t="s">
        <v>45</v>
      </c>
      <c r="H6" s="14" t="s">
        <v>46</v>
      </c>
    </row>
    <row r="7" spans="1:8" ht="69.75" customHeight="1" x14ac:dyDescent="0.25">
      <c r="A7" s="11">
        <v>2</v>
      </c>
      <c r="B7" s="7" t="s">
        <v>47</v>
      </c>
      <c r="C7" s="7" t="s">
        <v>51</v>
      </c>
      <c r="D7" s="6">
        <v>45391</v>
      </c>
      <c r="E7" s="13">
        <v>0.5</v>
      </c>
      <c r="F7" s="6">
        <f>D7</f>
        <v>45391</v>
      </c>
      <c r="G7" s="5"/>
      <c r="H7" s="5"/>
    </row>
    <row r="8" spans="1:8" ht="65.25" customHeight="1" x14ac:dyDescent="0.25">
      <c r="A8" s="11">
        <v>3</v>
      </c>
      <c r="B8" s="7" t="s">
        <v>49</v>
      </c>
      <c r="C8" s="7" t="s">
        <v>50</v>
      </c>
      <c r="D8" s="6">
        <v>45392</v>
      </c>
      <c r="E8" s="13">
        <v>0.5</v>
      </c>
      <c r="F8" s="6">
        <f>D8</f>
        <v>45392</v>
      </c>
      <c r="G8" s="5"/>
      <c r="H8" s="5"/>
    </row>
    <row r="9" spans="1:8" ht="66" customHeight="1" x14ac:dyDescent="0.25">
      <c r="A9" s="11">
        <v>4</v>
      </c>
      <c r="B9" s="7" t="s">
        <v>48</v>
      </c>
      <c r="C9" s="7" t="s">
        <v>52</v>
      </c>
      <c r="D9" s="6">
        <v>45393</v>
      </c>
      <c r="E9" s="13">
        <v>0.5</v>
      </c>
      <c r="F9" s="6">
        <f>D9</f>
        <v>45393</v>
      </c>
      <c r="G9" s="5"/>
      <c r="H9" s="5"/>
    </row>
    <row r="10" spans="1:8" ht="45" x14ac:dyDescent="0.25">
      <c r="A10" s="12">
        <v>5</v>
      </c>
      <c r="B10" s="10" t="s">
        <v>21</v>
      </c>
      <c r="C10" s="7" t="s">
        <v>53</v>
      </c>
      <c r="D10" s="6">
        <v>45394</v>
      </c>
      <c r="E10" s="13">
        <v>1</v>
      </c>
      <c r="F10" s="6">
        <f>D10</f>
        <v>45394</v>
      </c>
      <c r="G10" s="8"/>
      <c r="H10" s="8"/>
    </row>
  </sheetData>
  <mergeCells count="1">
    <mergeCell ref="A1:H1"/>
  </mergeCells>
  <pageMargins left="0.7" right="0.7" top="0.75" bottom="0.75" header="0.3" footer="0.3"/>
  <pageSetup paperSize="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9586-A8DA-48A0-82BD-34284040BF1E}">
  <dimension ref="A1:H10"/>
  <sheetViews>
    <sheetView topLeftCell="A6" workbookViewId="0">
      <selection activeCell="H6" sqref="H6"/>
    </sheetView>
  </sheetViews>
  <sheetFormatPr baseColWidth="10" defaultRowHeight="15" x14ac:dyDescent="0.25"/>
  <cols>
    <col min="2" max="2" width="21.7109375" customWidth="1"/>
    <col min="3" max="3" width="29.28515625" customWidth="1"/>
    <col min="4" max="4" width="13.7109375" bestFit="1" customWidth="1"/>
    <col min="5" max="5" width="17.28515625" bestFit="1" customWidth="1"/>
    <col min="7" max="7" width="14.140625" bestFit="1" customWidth="1"/>
  </cols>
  <sheetData>
    <row r="1" spans="1:8" x14ac:dyDescent="0.25">
      <c r="A1" s="36" t="s">
        <v>0</v>
      </c>
      <c r="B1" s="36"/>
      <c r="C1" s="36"/>
      <c r="D1" s="36"/>
      <c r="E1" s="36"/>
      <c r="F1" s="36"/>
      <c r="G1" s="36"/>
      <c r="H1" s="36"/>
    </row>
    <row r="2" spans="1:8" x14ac:dyDescent="0.25">
      <c r="A2" s="4" t="s">
        <v>7</v>
      </c>
      <c r="B2" s="1" t="s">
        <v>9</v>
      </c>
      <c r="C2" s="1"/>
      <c r="D2" s="2"/>
      <c r="E2" s="2"/>
      <c r="F2" s="2"/>
      <c r="G2" s="2"/>
      <c r="H2" s="2"/>
    </row>
    <row r="3" spans="1:8" x14ac:dyDescent="0.25">
      <c r="A3" s="4" t="s">
        <v>8</v>
      </c>
      <c r="B3" s="1" t="s">
        <v>37</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82.5" customHeight="1" x14ac:dyDescent="0.25">
      <c r="A6" s="11">
        <v>1</v>
      </c>
      <c r="B6" s="7" t="s">
        <v>40</v>
      </c>
      <c r="C6" s="7" t="s">
        <v>38</v>
      </c>
      <c r="D6" s="6">
        <v>45390</v>
      </c>
      <c r="E6" s="13">
        <v>0.6</v>
      </c>
      <c r="F6" s="6">
        <f>D6</f>
        <v>45390</v>
      </c>
      <c r="G6" s="14" t="s">
        <v>45</v>
      </c>
      <c r="H6" s="14" t="s">
        <v>46</v>
      </c>
    </row>
    <row r="7" spans="1:8" ht="44.25" customHeight="1" x14ac:dyDescent="0.25">
      <c r="A7" s="11">
        <v>2</v>
      </c>
      <c r="B7" s="7" t="s">
        <v>40</v>
      </c>
      <c r="C7" s="7" t="s">
        <v>39</v>
      </c>
      <c r="D7" s="6">
        <v>45391</v>
      </c>
      <c r="E7" s="5">
        <v>0</v>
      </c>
      <c r="F7" s="6">
        <f>D7</f>
        <v>45391</v>
      </c>
      <c r="G7" s="5"/>
      <c r="H7" s="5"/>
    </row>
    <row r="8" spans="1:8" ht="46.5" customHeight="1" x14ac:dyDescent="0.25">
      <c r="A8" s="11">
        <v>3</v>
      </c>
      <c r="B8" s="7" t="s">
        <v>41</v>
      </c>
      <c r="C8" s="7" t="s">
        <v>38</v>
      </c>
      <c r="D8" s="6">
        <v>45392</v>
      </c>
      <c r="E8" s="5">
        <v>0</v>
      </c>
      <c r="F8" s="6">
        <f>D8</f>
        <v>45392</v>
      </c>
      <c r="G8" s="5"/>
      <c r="H8" s="5"/>
    </row>
    <row r="9" spans="1:8" ht="27" x14ac:dyDescent="0.25">
      <c r="A9" s="11">
        <v>4</v>
      </c>
      <c r="B9" s="7" t="s">
        <v>42</v>
      </c>
      <c r="C9" s="7" t="s">
        <v>39</v>
      </c>
      <c r="D9" s="6">
        <v>45393</v>
      </c>
      <c r="E9" s="5">
        <v>0</v>
      </c>
      <c r="F9" s="6">
        <f>D9</f>
        <v>45393</v>
      </c>
      <c r="G9" s="5"/>
      <c r="H9" s="5"/>
    </row>
    <row r="10" spans="1:8" ht="45" x14ac:dyDescent="0.25">
      <c r="A10" s="12">
        <v>5</v>
      </c>
      <c r="B10" s="10" t="s">
        <v>21</v>
      </c>
      <c r="C10" s="7" t="s">
        <v>22</v>
      </c>
      <c r="D10" s="6">
        <v>45394</v>
      </c>
      <c r="E10" s="5">
        <v>0</v>
      </c>
      <c r="F10" s="6">
        <f>D10</f>
        <v>45394</v>
      </c>
      <c r="G10" s="8"/>
      <c r="H10" s="8"/>
    </row>
  </sheetData>
  <mergeCells count="1">
    <mergeCell ref="A1:H1"/>
  </mergeCells>
  <pageMargins left="0.7" right="0.7" top="0.75" bottom="0.75" header="0.3" footer="0.3"/>
  <pageSetup paperSize="9"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A415-8E87-4AC1-B9FF-E9A1190E962C}">
  <dimension ref="A1:H9"/>
  <sheetViews>
    <sheetView topLeftCell="A7" workbookViewId="0">
      <selection activeCell="C6" sqref="C6"/>
    </sheetView>
  </sheetViews>
  <sheetFormatPr baseColWidth="10" defaultRowHeight="15" x14ac:dyDescent="0.25"/>
  <cols>
    <col min="2" max="2" width="21.7109375" customWidth="1"/>
    <col min="3" max="3" width="29.28515625" customWidth="1"/>
    <col min="4" max="4" width="13.7109375" bestFit="1" customWidth="1"/>
    <col min="5" max="5" width="17.28515625" bestFit="1" customWidth="1"/>
    <col min="7" max="7" width="14.140625" bestFit="1" customWidth="1"/>
  </cols>
  <sheetData>
    <row r="1" spans="1:8" x14ac:dyDescent="0.25">
      <c r="A1" s="36" t="s">
        <v>0</v>
      </c>
      <c r="B1" s="36"/>
      <c r="C1" s="36"/>
      <c r="D1" s="36"/>
      <c r="E1" s="36"/>
      <c r="F1" s="36"/>
      <c r="G1" s="36"/>
      <c r="H1" s="36"/>
    </row>
    <row r="2" spans="1:8" x14ac:dyDescent="0.25">
      <c r="A2" s="4" t="s">
        <v>7</v>
      </c>
      <c r="B2" s="1" t="s">
        <v>9</v>
      </c>
      <c r="C2" s="1"/>
      <c r="D2" s="2"/>
      <c r="E2" s="2"/>
      <c r="F2" s="2"/>
      <c r="G2" s="2"/>
      <c r="H2" s="2"/>
    </row>
    <row r="3" spans="1:8" x14ac:dyDescent="0.25">
      <c r="A3" s="4" t="s">
        <v>8</v>
      </c>
      <c r="B3" t="s">
        <v>18</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72" customHeight="1" x14ac:dyDescent="0.25">
      <c r="A6" s="5">
        <v>1</v>
      </c>
      <c r="B6" s="7" t="s">
        <v>11</v>
      </c>
      <c r="C6" s="7" t="s">
        <v>14</v>
      </c>
      <c r="D6" s="6">
        <v>45376</v>
      </c>
      <c r="E6" s="5">
        <v>0</v>
      </c>
      <c r="F6" s="6">
        <v>45376</v>
      </c>
      <c r="G6" s="5"/>
      <c r="H6" s="5"/>
    </row>
    <row r="7" spans="1:8" ht="67.5" x14ac:dyDescent="0.25">
      <c r="A7" s="5">
        <v>2</v>
      </c>
      <c r="B7" s="7" t="s">
        <v>11</v>
      </c>
      <c r="C7" s="7" t="s">
        <v>15</v>
      </c>
      <c r="D7" s="6">
        <v>45377</v>
      </c>
      <c r="E7" s="5">
        <v>0</v>
      </c>
      <c r="F7" s="6">
        <v>45377</v>
      </c>
      <c r="G7" s="5"/>
      <c r="H7" s="5"/>
    </row>
    <row r="8" spans="1:8" ht="94.5" x14ac:dyDescent="0.25">
      <c r="A8" s="5">
        <v>3</v>
      </c>
      <c r="B8" s="7" t="s">
        <v>12</v>
      </c>
      <c r="C8" s="7" t="s">
        <v>13</v>
      </c>
      <c r="D8" s="6">
        <v>45378</v>
      </c>
      <c r="E8" s="5">
        <v>0</v>
      </c>
      <c r="F8" s="6">
        <v>45378</v>
      </c>
      <c r="G8" s="5"/>
      <c r="H8" s="5"/>
    </row>
    <row r="9" spans="1:8" ht="94.5" x14ac:dyDescent="0.25">
      <c r="A9" s="5">
        <v>4</v>
      </c>
      <c r="B9" s="7" t="s">
        <v>12</v>
      </c>
      <c r="C9" s="7" t="s">
        <v>16</v>
      </c>
      <c r="D9" s="6">
        <v>45379</v>
      </c>
      <c r="E9" s="5">
        <v>0</v>
      </c>
      <c r="F9" s="6">
        <v>45379</v>
      </c>
      <c r="G9" s="5"/>
      <c r="H9" s="5"/>
    </row>
  </sheetData>
  <mergeCells count="1">
    <mergeCell ref="A1:H1"/>
  </mergeCells>
  <pageMargins left="0.7" right="0.7" top="0.75" bottom="0.75" header="0.3" footer="0.3"/>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E11B-4A51-415B-8FC5-7A940F098E26}">
  <dimension ref="A1:H9"/>
  <sheetViews>
    <sheetView topLeftCell="A7" workbookViewId="0">
      <selection activeCell="C12" sqref="C12"/>
    </sheetView>
  </sheetViews>
  <sheetFormatPr baseColWidth="10" defaultRowHeight="15" x14ac:dyDescent="0.25"/>
  <cols>
    <col min="2" max="2" width="21.7109375" customWidth="1"/>
    <col min="3" max="3" width="29.28515625" customWidth="1"/>
    <col min="4" max="4" width="13.7109375" bestFit="1" customWidth="1"/>
    <col min="5" max="5" width="17.28515625" bestFit="1" customWidth="1"/>
    <col min="7" max="7" width="14.140625" bestFit="1" customWidth="1"/>
  </cols>
  <sheetData>
    <row r="1" spans="1:8" x14ac:dyDescent="0.25">
      <c r="A1" s="36" t="s">
        <v>30</v>
      </c>
      <c r="B1" s="36"/>
      <c r="C1" s="36"/>
      <c r="D1" s="36"/>
      <c r="E1" s="36"/>
      <c r="F1" s="36"/>
      <c r="G1" s="36"/>
      <c r="H1" s="36"/>
    </row>
    <row r="2" spans="1:8" x14ac:dyDescent="0.25">
      <c r="A2" s="4" t="s">
        <v>7</v>
      </c>
      <c r="B2" s="1" t="s">
        <v>9</v>
      </c>
      <c r="C2" s="1"/>
      <c r="D2" s="2"/>
      <c r="E2" s="2"/>
      <c r="F2" s="2"/>
      <c r="G2" s="2"/>
      <c r="H2" s="2"/>
    </row>
    <row r="3" spans="1:8" x14ac:dyDescent="0.25">
      <c r="A3" s="4" t="s">
        <v>8</v>
      </c>
      <c r="B3" t="s">
        <v>18</v>
      </c>
    </row>
    <row r="4" spans="1:8" x14ac:dyDescent="0.25">
      <c r="A4" s="1"/>
      <c r="B4" s="1"/>
      <c r="C4" s="1"/>
      <c r="D4" s="1"/>
      <c r="E4" s="1"/>
      <c r="F4" s="1"/>
      <c r="G4" s="1"/>
      <c r="H4" s="1"/>
    </row>
    <row r="5" spans="1:8" x14ac:dyDescent="0.25">
      <c r="A5" s="3" t="s">
        <v>1</v>
      </c>
      <c r="B5" s="3" t="s">
        <v>2</v>
      </c>
      <c r="C5" s="3" t="s">
        <v>17</v>
      </c>
      <c r="D5" s="3" t="s">
        <v>10</v>
      </c>
      <c r="E5" s="3" t="s">
        <v>3</v>
      </c>
      <c r="F5" s="3" t="s">
        <v>4</v>
      </c>
      <c r="G5" s="3" t="s">
        <v>5</v>
      </c>
      <c r="H5" s="3" t="s">
        <v>6</v>
      </c>
    </row>
    <row r="6" spans="1:8" ht="78" customHeight="1" x14ac:dyDescent="0.25">
      <c r="A6" s="5">
        <v>1</v>
      </c>
      <c r="B6" s="7" t="s">
        <v>11</v>
      </c>
      <c r="C6" s="7" t="s">
        <v>14</v>
      </c>
      <c r="D6" s="6">
        <v>45376</v>
      </c>
      <c r="E6" s="13">
        <v>1</v>
      </c>
      <c r="F6" s="6">
        <v>45376</v>
      </c>
      <c r="G6" s="7" t="s">
        <v>32</v>
      </c>
      <c r="H6" s="7" t="s">
        <v>31</v>
      </c>
    </row>
    <row r="7" spans="1:8" ht="81" x14ac:dyDescent="0.25">
      <c r="A7" s="5">
        <v>2</v>
      </c>
      <c r="B7" s="7" t="s">
        <v>11</v>
      </c>
      <c r="C7" s="7" t="s">
        <v>15</v>
      </c>
      <c r="D7" s="6">
        <v>45377</v>
      </c>
      <c r="E7" s="13">
        <v>1</v>
      </c>
      <c r="F7" s="6">
        <v>45377</v>
      </c>
      <c r="G7" s="7" t="s">
        <v>33</v>
      </c>
      <c r="H7" s="7" t="s">
        <v>31</v>
      </c>
    </row>
    <row r="8" spans="1:8" ht="94.5" x14ac:dyDescent="0.25">
      <c r="A8" s="5">
        <v>3</v>
      </c>
      <c r="B8" s="7" t="s">
        <v>12</v>
      </c>
      <c r="C8" s="7" t="s">
        <v>13</v>
      </c>
      <c r="D8" s="6">
        <v>45378</v>
      </c>
      <c r="E8" s="13">
        <v>1</v>
      </c>
      <c r="F8" s="6">
        <v>45378</v>
      </c>
      <c r="G8" s="7" t="s">
        <v>35</v>
      </c>
      <c r="H8" s="7" t="s">
        <v>31</v>
      </c>
    </row>
    <row r="9" spans="1:8" ht="94.5" x14ac:dyDescent="0.25">
      <c r="A9" s="5">
        <v>4</v>
      </c>
      <c r="B9" s="7" t="s">
        <v>12</v>
      </c>
      <c r="C9" s="7" t="s">
        <v>16</v>
      </c>
      <c r="D9" s="6">
        <v>45379</v>
      </c>
      <c r="E9" s="13">
        <v>1</v>
      </c>
      <c r="F9" s="6">
        <v>45379</v>
      </c>
      <c r="G9" s="7" t="s">
        <v>34</v>
      </c>
      <c r="H9" s="7" t="s">
        <v>31</v>
      </c>
    </row>
  </sheetData>
  <mergeCells count="1">
    <mergeCell ref="A1:H1"/>
  </mergeCells>
  <pageMargins left="0.7" right="0.7"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C592-C84E-47C5-BA9B-5B37C2EF9EC2}">
  <dimension ref="A1:H10"/>
  <sheetViews>
    <sheetView topLeftCell="A4" zoomScale="91" zoomScaleNormal="91" workbookViewId="0">
      <selection activeCell="E5" sqref="E5"/>
    </sheetView>
  </sheetViews>
  <sheetFormatPr baseColWidth="10" defaultRowHeight="15" x14ac:dyDescent="0.25"/>
  <cols>
    <col min="1" max="1" width="7" customWidth="1"/>
    <col min="2" max="2" width="21.7109375" customWidth="1"/>
    <col min="3" max="3" width="29.28515625" customWidth="1"/>
    <col min="4" max="4" width="13.7109375" bestFit="1" customWidth="1"/>
    <col min="5" max="5" width="15.85546875" customWidth="1"/>
    <col min="7" max="7" width="20.7109375" customWidth="1"/>
  </cols>
  <sheetData>
    <row r="1" spans="1:8" x14ac:dyDescent="0.25">
      <c r="A1" s="36" t="s">
        <v>30</v>
      </c>
      <c r="B1" s="36"/>
      <c r="C1" s="36"/>
      <c r="D1" s="36"/>
      <c r="E1" s="36"/>
      <c r="F1" s="36"/>
      <c r="G1" s="36"/>
      <c r="H1" s="36"/>
    </row>
    <row r="2" spans="1:8" x14ac:dyDescent="0.25">
      <c r="A2" s="4" t="s">
        <v>7</v>
      </c>
      <c r="B2" s="1" t="s">
        <v>9</v>
      </c>
      <c r="C2" s="1"/>
      <c r="D2" s="2"/>
      <c r="E2" s="2"/>
      <c r="F2" s="2"/>
      <c r="G2" s="2"/>
      <c r="H2" s="2"/>
    </row>
    <row r="3" spans="1:8" x14ac:dyDescent="0.25">
      <c r="A3" s="4" t="s">
        <v>8</v>
      </c>
      <c r="B3" s="1" t="s">
        <v>27</v>
      </c>
    </row>
    <row r="4" spans="1:8" x14ac:dyDescent="0.25">
      <c r="A4" s="1"/>
      <c r="B4" s="1"/>
      <c r="C4" s="1"/>
      <c r="D4" s="1"/>
      <c r="E4" s="1"/>
      <c r="F4" s="1"/>
      <c r="G4" s="1"/>
      <c r="H4" s="1"/>
    </row>
    <row r="5" spans="1:8" ht="30" x14ac:dyDescent="0.25">
      <c r="A5" s="3" t="s">
        <v>1</v>
      </c>
      <c r="B5" s="3" t="s">
        <v>2</v>
      </c>
      <c r="C5" s="3" t="s">
        <v>17</v>
      </c>
      <c r="D5" s="3" t="s">
        <v>10</v>
      </c>
      <c r="E5" s="15" t="s">
        <v>3</v>
      </c>
      <c r="F5" s="3" t="s">
        <v>4</v>
      </c>
      <c r="G5" s="3" t="s">
        <v>5</v>
      </c>
      <c r="H5" s="3" t="s">
        <v>6</v>
      </c>
    </row>
    <row r="6" spans="1:8" ht="86.25" customHeight="1" x14ac:dyDescent="0.25">
      <c r="A6" s="11">
        <v>1</v>
      </c>
      <c r="B6" s="7" t="s">
        <v>19</v>
      </c>
      <c r="C6" s="7" t="s">
        <v>28</v>
      </c>
      <c r="D6" s="6">
        <v>45383</v>
      </c>
      <c r="E6" s="13">
        <v>1</v>
      </c>
      <c r="F6" s="6">
        <v>45383</v>
      </c>
      <c r="G6" s="14" t="s">
        <v>36</v>
      </c>
      <c r="H6" s="5"/>
    </row>
    <row r="7" spans="1:8" ht="44.25" customHeight="1" x14ac:dyDescent="0.25">
      <c r="A7" s="11">
        <v>2</v>
      </c>
      <c r="B7" s="7" t="s">
        <v>29</v>
      </c>
      <c r="C7" s="9" t="s">
        <v>23</v>
      </c>
      <c r="D7" s="6">
        <v>45384</v>
      </c>
      <c r="E7" s="13">
        <v>1</v>
      </c>
      <c r="F7" s="6">
        <v>45384</v>
      </c>
      <c r="G7" s="14" t="s">
        <v>43</v>
      </c>
      <c r="H7" s="5"/>
    </row>
    <row r="8" spans="1:8" ht="46.5" customHeight="1" x14ac:dyDescent="0.25">
      <c r="A8" s="11">
        <v>3</v>
      </c>
      <c r="B8" s="7" t="s">
        <v>26</v>
      </c>
      <c r="C8" s="10" t="s">
        <v>25</v>
      </c>
      <c r="D8" s="6">
        <v>45385</v>
      </c>
      <c r="E8" s="13">
        <v>1</v>
      </c>
      <c r="F8" s="6">
        <v>45385</v>
      </c>
      <c r="G8" s="14" t="s">
        <v>43</v>
      </c>
      <c r="H8" s="5"/>
    </row>
    <row r="9" spans="1:8" ht="40.5" x14ac:dyDescent="0.25">
      <c r="A9" s="11">
        <v>4</v>
      </c>
      <c r="B9" s="7" t="s">
        <v>20</v>
      </c>
      <c r="C9" s="7" t="s">
        <v>24</v>
      </c>
      <c r="D9" s="6">
        <v>45386</v>
      </c>
      <c r="E9" s="13">
        <v>1</v>
      </c>
      <c r="F9" s="6">
        <v>45386</v>
      </c>
      <c r="G9" s="14" t="s">
        <v>44</v>
      </c>
      <c r="H9" s="5"/>
    </row>
    <row r="10" spans="1:8" ht="45" x14ac:dyDescent="0.25">
      <c r="A10" s="12">
        <v>5</v>
      </c>
      <c r="B10" s="10" t="s">
        <v>21</v>
      </c>
      <c r="C10" s="10" t="s">
        <v>22</v>
      </c>
      <c r="D10" s="6">
        <v>45387</v>
      </c>
      <c r="E10" s="13">
        <v>1</v>
      </c>
      <c r="F10" s="6">
        <v>45387</v>
      </c>
      <c r="G10" s="5"/>
      <c r="H10" s="8"/>
    </row>
  </sheetData>
  <mergeCells count="1">
    <mergeCell ref="A1:H1"/>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35</vt:i4>
      </vt:variant>
    </vt:vector>
  </HeadingPairs>
  <TitlesOfParts>
    <vt:vector size="35" baseType="lpstr">
      <vt:lpstr>Semana 1-5 Abril (3)</vt:lpstr>
      <vt:lpstr>Semana del 15 al 19 de Dic</vt:lpstr>
      <vt:lpstr>Semana del 8 al 12 de Dic</vt:lpstr>
      <vt:lpstr>Semana del 1 al 5 de Dic</vt:lpstr>
      <vt:lpstr>Semana del 24 al 28 de Nov</vt:lpstr>
      <vt:lpstr>Semana del 17 al 21 de Nov</vt:lpstr>
      <vt:lpstr>Semana del 10 al 14 de Nov</vt:lpstr>
      <vt:lpstr>Semana del 3 al 7 de Nov</vt:lpstr>
      <vt:lpstr>Semana del 27 al 31 de Oct</vt:lpstr>
      <vt:lpstr>Semana del 20 al 24 de Oct</vt:lpstr>
      <vt:lpstr>Semana del 13 al 17 de Oct</vt:lpstr>
      <vt:lpstr>Semana del 6 al 10 de Oct</vt:lpstr>
      <vt:lpstr>Semana del 29Sep al 3 Oct</vt:lpstr>
      <vt:lpstr>Semana del 22 al 26 de Sept</vt:lpstr>
      <vt:lpstr>Semana 28 de Jul al 1 de Ago</vt:lpstr>
      <vt:lpstr>Semana 30 de Jun al 4 de Jul</vt:lpstr>
      <vt:lpstr>Semana 3 de Marzo al 4 de Abril</vt:lpstr>
      <vt:lpstr>Semana 24-28 de Febrero</vt:lpstr>
      <vt:lpstr>Semana 17-21 de Febrero</vt:lpstr>
      <vt:lpstr>Semana 10-14 de Febrero</vt:lpstr>
      <vt:lpstr>Semana 3-7 de Febrero</vt:lpstr>
      <vt:lpstr>Semana 27-31 Enero</vt:lpstr>
      <vt:lpstr>Semana 20-24 Enero</vt:lpstr>
      <vt:lpstr>Semana 13-17 Enero</vt:lpstr>
      <vt:lpstr>Informe 29 Abril-3 Mayo</vt:lpstr>
      <vt:lpstr>Semana 29 Abril-3 Mayo</vt:lpstr>
      <vt:lpstr>Informe Semana 22-26 Abril </vt:lpstr>
      <vt:lpstr>Semana 22-26 Abril </vt:lpstr>
      <vt:lpstr>Informe Semana 15-19 Abril</vt:lpstr>
      <vt:lpstr>Semana 15-19 Abril</vt:lpstr>
      <vt:lpstr>Informe Semana 8-12 Abril (2)</vt:lpstr>
      <vt:lpstr>Semana 8-12 Abril</vt:lpstr>
      <vt:lpstr>Semana 25-28 Marzo</vt:lpstr>
      <vt:lpstr>InformeSemana 25-28 Marzo</vt:lpstr>
      <vt:lpstr>InformeActSemana 1-5 Abril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 Elizabeth Arcos Pilaluisa</dc:creator>
  <cp:lastModifiedBy>Norma Elizabeth Arcos Pilaluisa</cp:lastModifiedBy>
  <cp:lastPrinted>2024-05-31T14:15:58Z</cp:lastPrinted>
  <dcterms:created xsi:type="dcterms:W3CDTF">2024-03-20T20:51:48Z</dcterms:created>
  <dcterms:modified xsi:type="dcterms:W3CDTF">2025-12-19T21:55:15Z</dcterms:modified>
</cp:coreProperties>
</file>