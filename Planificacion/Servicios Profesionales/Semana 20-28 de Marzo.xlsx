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Planificacion\"/>
    </mc:Choice>
  </mc:AlternateContent>
  <xr:revisionPtr revIDLastSave="0" documentId="13_ncr:1_{432E8BA9-F960-4F59-9788-D5B18C848E65}" xr6:coauthVersionLast="47" xr6:coauthVersionMax="47" xr10:uidLastSave="{00000000-0000-0000-0000-000000000000}"/>
  <bookViews>
    <workbookView xWindow="-120" yWindow="-120" windowWidth="20730" windowHeight="11160" firstSheet="1" activeTab="1" xr2:uid="{9054E0F4-FEFC-4FC5-8823-7D959C7FD1F8}"/>
  </bookViews>
  <sheets>
    <sheet name="Semana 1-5 Abril (3)" sheetId="5" state="hidden" r:id="rId1"/>
    <sheet name="Informe 26-30 Agosto" sheetId="29" r:id="rId2"/>
    <sheet name="Informe 19-23 Agosto" sheetId="28" r:id="rId3"/>
    <sheet name="Informe 12-16 Agosto" sheetId="27" r:id="rId4"/>
    <sheet name="Informe 03-05 Julio (2)" sheetId="26" r:id="rId5"/>
    <sheet name="Semana 03-05 Julio" sheetId="25" r:id="rId6"/>
    <sheet name="Semana 10-14 Junio" sheetId="23" r:id="rId7"/>
    <sheet name="Informe 03-07 Junio " sheetId="22" r:id="rId8"/>
    <sheet name="Semana 03-07 Junio" sheetId="21" r:id="rId9"/>
    <sheet name="InformeSemana 27-31 " sheetId="20" r:id="rId10"/>
    <sheet name="Semana 27-31 Mayo" sheetId="19" r:id="rId11"/>
    <sheet name="Informe Semana 20-24 Mayo  (2)" sheetId="18" r:id="rId12"/>
    <sheet name="Semana 20-24 Mayo " sheetId="17" r:id="rId13"/>
    <sheet name="Informe Semana 13-17 Mayo (2)" sheetId="16" r:id="rId14"/>
    <sheet name="Semana 13-17 Mayo" sheetId="15" r:id="rId15"/>
    <sheet name="Informe Semana 6-10 Mayo" sheetId="14" r:id="rId16"/>
    <sheet name="Semana 6-10 Mayo" sheetId="13" r:id="rId17"/>
    <sheet name="Informe 29 Abril-3 Mayo" sheetId="11" state="hidden" r:id="rId18"/>
    <sheet name="Semana 29 Abril-3 Mayo" sheetId="12" state="hidden" r:id="rId19"/>
    <sheet name="Informe Semana 22-26 Abril " sheetId="10" state="hidden" r:id="rId20"/>
    <sheet name="Semana 22-26 Abril " sheetId="9" state="hidden" r:id="rId21"/>
    <sheet name="Informe Semana 15-19 Abril" sheetId="8" state="hidden" r:id="rId22"/>
    <sheet name="Semana 15-19 Abril" sheetId="7" state="hidden" r:id="rId23"/>
    <sheet name="Informe Semana 8-12 Abril (2)" sheetId="6" state="hidden" r:id="rId24"/>
    <sheet name="Semana 8-12 Abril" sheetId="4" state="hidden" r:id="rId25"/>
    <sheet name="Semana 25-28 Marzo" sheetId="1" state="hidden" r:id="rId26"/>
    <sheet name="InformeSemana 25-28 Marzo" sheetId="3" state="hidden" r:id="rId27"/>
    <sheet name="InformeActSemana 1-5 Abril" sheetId="2" state="hidden" r:id="rId28"/>
  </sheets>
  <definedNames>
    <definedName name="_xlnm.Print_Area" localSheetId="4">'Informe 03-05 Julio (2)'!$A$1:$H$10</definedName>
    <definedName name="_xlnm.Print_Area" localSheetId="7">'Informe 03-07 Junio '!$A$1:$H$10</definedName>
    <definedName name="_xlnm.Print_Area" localSheetId="3">'Informe 12-16 Agosto'!$A$1:$H$10</definedName>
    <definedName name="_xlnm.Print_Area" localSheetId="2">'Informe 19-23 Agosto'!$A$1:$H$10</definedName>
    <definedName name="_xlnm.Print_Area" localSheetId="1">'Informe 26-30 Agosto'!$A$1:$H$10</definedName>
    <definedName name="_xlnm.Print_Area" localSheetId="11">'Informe Semana 20-24 Mayo  (2)'!$A$1:$H$9</definedName>
    <definedName name="_xlnm.Print_Area" localSheetId="9">'InformeSemana 27-31 '!$A$1:$H$10</definedName>
    <definedName name="_xlnm.Print_Area" localSheetId="5">'Semana 03-05 Julio'!$A$1:$H$10</definedName>
    <definedName name="_xlnm.Print_Area" localSheetId="8">'Semana 03-07 Junio'!$A$1:$H$10</definedName>
    <definedName name="_xlnm.Print_Area" localSheetId="6">'Semana 10-14 Junio'!$A$1:$H$10</definedName>
    <definedName name="_xlnm.Print_Area" localSheetId="12">'Semana 20-24 Mayo '!$A$1:$H$10</definedName>
    <definedName name="_xlnm.Print_Area" localSheetId="10">'Semana 27-31 Mayo'!$A$1:$H$10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9" l="1"/>
  <c r="F9" i="29"/>
  <c r="F8" i="29"/>
  <c r="F7" i="29"/>
  <c r="F6" i="29"/>
  <c r="F10" i="28"/>
  <c r="F9" i="28"/>
  <c r="F8" i="28"/>
  <c r="F7" i="28"/>
  <c r="F6" i="28"/>
  <c r="F10" i="27"/>
  <c r="F9" i="27"/>
  <c r="F8" i="27"/>
  <c r="F7" i="27"/>
  <c r="F6" i="27"/>
  <c r="F10" i="26"/>
  <c r="F9" i="26"/>
  <c r="F8" i="26"/>
  <c r="F7" i="26"/>
  <c r="F6" i="26"/>
  <c r="F10" i="25"/>
  <c r="F9" i="25"/>
  <c r="F8" i="25"/>
  <c r="F7" i="25"/>
  <c r="F6" i="25"/>
  <c r="F10" i="23"/>
  <c r="F9" i="23"/>
  <c r="F8" i="23"/>
  <c r="F7" i="23"/>
  <c r="F6" i="23"/>
  <c r="F10" i="22"/>
  <c r="F9" i="22"/>
  <c r="F8" i="22"/>
  <c r="F7" i="22"/>
  <c r="F6" i="22"/>
  <c r="F10" i="21"/>
  <c r="F9" i="21"/>
  <c r="F8" i="21"/>
  <c r="F7" i="21"/>
  <c r="F6" i="21"/>
  <c r="F10" i="20"/>
  <c r="F9" i="20"/>
  <c r="F8" i="20"/>
  <c r="F7" i="20"/>
  <c r="F6" i="20"/>
  <c r="F10" i="19"/>
  <c r="F9" i="19"/>
  <c r="F8" i="19"/>
  <c r="F7" i="19"/>
  <c r="F6" i="19"/>
  <c r="F10" i="18"/>
  <c r="F9" i="18"/>
  <c r="F8" i="18"/>
  <c r="F7" i="18"/>
  <c r="F6" i="18"/>
  <c r="F10" i="17"/>
  <c r="F9" i="17"/>
  <c r="F8" i="17"/>
  <c r="F7" i="17"/>
  <c r="F6" i="17"/>
  <c r="F10" i="16"/>
  <c r="F9" i="16"/>
  <c r="F8" i="16"/>
  <c r="F7" i="16"/>
  <c r="F6" i="16"/>
  <c r="F7" i="15"/>
  <c r="F8" i="15"/>
  <c r="F9" i="15"/>
  <c r="F10" i="15"/>
  <c r="F6" i="15"/>
  <c r="F10" i="14"/>
  <c r="F9" i="14"/>
  <c r="F8" i="14"/>
  <c r="F7" i="14"/>
  <c r="F6" i="14"/>
  <c r="F10" i="13"/>
  <c r="F9" i="13"/>
  <c r="F8" i="13"/>
  <c r="F7" i="13"/>
  <c r="F6" i="13"/>
  <c r="F10" i="12"/>
  <c r="F9" i="12"/>
  <c r="F8" i="12"/>
  <c r="F7" i="12"/>
  <c r="F6" i="12"/>
  <c r="F10" i="11"/>
  <c r="F9" i="11"/>
  <c r="F8" i="11"/>
  <c r="F7" i="11"/>
  <c r="F6" i="11"/>
  <c r="F10" i="10"/>
  <c r="F9" i="10"/>
  <c r="F8" i="10"/>
  <c r="F7" i="10"/>
  <c r="F6" i="10"/>
  <c r="F10" i="9"/>
  <c r="F9" i="9"/>
  <c r="F8" i="9"/>
  <c r="F7" i="9"/>
  <c r="F6" i="9"/>
  <c r="F6" i="8"/>
  <c r="F10" i="8"/>
  <c r="F9" i="8"/>
  <c r="F8" i="8"/>
  <c r="F7" i="8"/>
  <c r="F10" i="7"/>
  <c r="F9" i="7"/>
  <c r="F8" i="7"/>
  <c r="F7" i="7"/>
  <c r="F6" i="7"/>
  <c r="F10" i="6"/>
  <c r="F9" i="6"/>
  <c r="F8" i="6"/>
  <c r="F7" i="6"/>
  <c r="F6" i="6"/>
  <c r="F10" i="4"/>
  <c r="F9" i="4"/>
  <c r="F8" i="4"/>
  <c r="F7" i="4"/>
  <c r="F6" i="4"/>
</calcChain>
</file>

<file path=xl/sharedStrings.xml><?xml version="1.0" encoding="utf-8"?>
<sst xmlns="http://schemas.openxmlformats.org/spreadsheetml/2006/main" count="676" uniqueCount="142">
  <si>
    <t>Planificación Semanal</t>
  </si>
  <si>
    <t>Número</t>
  </si>
  <si>
    <t>Descripción Actividad</t>
  </si>
  <si>
    <t>Porcentaje Avance</t>
  </si>
  <si>
    <t>Fecha Fin</t>
  </si>
  <si>
    <t>Observaciones</t>
  </si>
  <si>
    <t>Obstáculos</t>
  </si>
  <si>
    <t>Nombre:</t>
  </si>
  <si>
    <t>Fechas:</t>
  </si>
  <si>
    <t>Norma Arcos, Msc</t>
  </si>
  <si>
    <t>Fecha de Inicio</t>
  </si>
  <si>
    <t>Demo Sistema Provincial Integral para la gestión de los Gobiernos Autónomos Descentralizados Provinciales</t>
  </si>
  <si>
    <t>Implementación del Reposito para el Sistema Provincial Integral para la gestión de los Gobiernos Autónomos Descentralizados Provinciales</t>
  </si>
  <si>
    <t>Implementacion CRUD Demo Empresa Create
Creación de procedimientos y vistas</t>
  </si>
  <si>
    <t>Implementacion CRUD Demo Empresa Retrieve
Creación de procedimientos y vistas
Migracion en Front</t>
  </si>
  <si>
    <t>Implementacion CRUD Demo Empresa Update 
Creación de procedimientos y vistas
Migracion en Front</t>
  </si>
  <si>
    <t>Implementacion CRUD Demo Empresa Delete
Creación de procedimientos y vistas
Migracion en Front</t>
  </si>
  <si>
    <t>Detalle Actividad</t>
  </si>
  <si>
    <t>25 Mar 2024-  28 Mar 2024</t>
  </si>
  <si>
    <t>Documento de  Situación Actual y Propuesta de Proyecto</t>
  </si>
  <si>
    <t>Manual para clonación del proyecto en Git</t>
  </si>
  <si>
    <t>Formatos de Actividades del Proyecto</t>
  </si>
  <si>
    <t>Historias de Usuario, Actas de Reunión, Manuales</t>
  </si>
  <si>
    <t>Formato para Métodos Funciones Procedimientos</t>
  </si>
  <si>
    <t>Clonación repositorio Front y por consola</t>
  </si>
  <si>
    <t>Distribución por directorios</t>
  </si>
  <si>
    <t>Manual de Uso de Git para Creacion de Repositorio y ramas</t>
  </si>
  <si>
    <t>01 al 05 Abril 2024</t>
  </si>
  <si>
    <t>Descripción Tecnología usada y a usar</t>
  </si>
  <si>
    <t>Documento de Estándar de Programación</t>
  </si>
  <si>
    <t>Informe Actividades</t>
  </si>
  <si>
    <t>Se requiere formalizar la priorización para empezar una funcionalidad</t>
  </si>
  <si>
    <t>Se realizó también Explicación Perfiles Scrum y asignación de roles </t>
  </si>
  <si>
    <t>Se realizó también Explicación de uso de git y arquitectura </t>
  </si>
  <si>
    <t>Se realizó un estimado de Planificación de las pantallas para el módulo de Inventarios.</t>
  </si>
  <si>
    <t>Se realizó Distribución de pantallas entre los desarrolladores</t>
  </si>
  <si>
    <t>Se realizó el Informe de Revisión de Sprint y Estado del Proyecto donde se describe la situacion actual y propuesta para el proyecto</t>
  </si>
  <si>
    <t>08 al 12 Abril 2024</t>
  </si>
  <si>
    <t>Procedimientos almacenados</t>
  </si>
  <si>
    <t xml:space="preserve"> Api-rest CRUD</t>
  </si>
  <si>
    <t>Modulo Presupuesto-Estructura Partida Gastos- Back</t>
  </si>
  <si>
    <t>Modulo Presupuesto-Estructura Partida Ingresos -Back</t>
  </si>
  <si>
    <t>ModuloPresupesto-Tipos Comprobantes-Back</t>
  </si>
  <si>
    <t>Se realiza modulo de Inventario -Estructura de Código</t>
  </si>
  <si>
    <t>Se realiza modulo de Inventario - Tipos de Comprobantes</t>
  </si>
  <si>
    <t>Por parte de la dirección de tecnología se dio prioridad al módulo de tesorería</t>
  </si>
  <si>
    <t>Designado del área de tesorería  para revisar la funcionalidad</t>
  </si>
  <si>
    <t>Tesoreria-Estructura Plan de Cuentas</t>
  </si>
  <si>
    <t>Tesoreria-Plan de Cuentas</t>
  </si>
  <si>
    <t>Tesoreria- Plan de Cuentas</t>
  </si>
  <si>
    <t xml:space="preserve"> Api-rest CRUD. Ya  no se dio prioridad a Modulo Presupuesto-Estructura Partida Ingresos -Back-Procedimientos almacenados</t>
  </si>
  <si>
    <t>Procedimientos almacenados y  Api-rest CRUD.Ya  no se dio prioridad a Modulo Presupuesto-Estructura Partida Gastos- Back- Api-rest CRUD</t>
  </si>
  <si>
    <t>Procedimientos Almacenados. Ya  no se dio prioridad a  ModuloPresupesto-Tipos Comprobantes-Back-Api-rest CRUD</t>
  </si>
  <si>
    <t>Historias de Usuario, Actas de Reunión, Manuales Clonaciòn de Proyecto</t>
  </si>
  <si>
    <t>Tesoreria-Estructura Plan de Cuentas -Detalle y Modificación de Cuentas</t>
  </si>
  <si>
    <t>Tesoreria-Estructura Plan de Cuentas -Creación de Cuentas</t>
  </si>
  <si>
    <t>Historias de Usuario, Actas de Reunión, Seguimiento y soporte</t>
  </si>
  <si>
    <t>Tesoreria-Estructura Plan de Cuentas -Búsquedas por Cuenta</t>
  </si>
  <si>
    <t>15 al 19 Abril 2024</t>
  </si>
  <si>
    <t>Informe Semanal</t>
  </si>
  <si>
    <t>No se laboró</t>
  </si>
  <si>
    <t>Tesoreria-Estructura Plan de Cuentas -Creación de Cuentas Masivo</t>
  </si>
  <si>
    <t>Falta designación del área de tesorería  para revisar la funcionalidad</t>
  </si>
  <si>
    <t>22 al 26 Abril 2024</t>
  </si>
  <si>
    <t>15 al 17 Abril 2024</t>
  </si>
  <si>
    <t>Tesoreria-Estructura Plan de Cuentas -Busqueda de Cuentas</t>
  </si>
  <si>
    <t>Tesoreria-Estructura Plan de Cuentas -Búsqueda de Cuentas</t>
  </si>
  <si>
    <t>Formatos de Actividades del Proyecto, Seguimiento</t>
  </si>
  <si>
    <t>Tesoreria-Estructura Plan de Cuentas -Saldos por Período</t>
  </si>
  <si>
    <t>Tesoreria-Estructura Plan de Cuentas -Inactivación Plan Cuentas</t>
  </si>
  <si>
    <t xml:space="preserve"> Procedimientos y Api-rest CRUD</t>
  </si>
  <si>
    <t>29 Abril al 3 de Mayo 2024</t>
  </si>
  <si>
    <t>6 al 10 de Mayo 2024</t>
  </si>
  <si>
    <t>Analisis de Procesos para Backlog</t>
  </si>
  <si>
    <t>Revisión general  de procesos Presupuesto</t>
  </si>
  <si>
    <t>Revisión general de procesos Tesorerìa</t>
  </si>
  <si>
    <t>Revisión general de procesos Contabilidad</t>
  </si>
  <si>
    <t>Revisión de Hu Presupuesto</t>
  </si>
  <si>
    <t>Acompañamiento de Hu Presupuesto</t>
  </si>
  <si>
    <t>Acompañamiento procesos desarrollo, Actas de Reunión, Seguimiento y soporte</t>
  </si>
  <si>
    <t>Norma Arcos, Msc.</t>
  </si>
  <si>
    <t>Se asistió a induccion Presupuesto, Contabilidad y Tesorería</t>
  </si>
  <si>
    <t>No se labora</t>
  </si>
  <si>
    <t>Integración</t>
  </si>
  <si>
    <t>13 al 17 de Mayo 2024</t>
  </si>
  <si>
    <t>Consulta de Movimientos Presupuestario</t>
  </si>
  <si>
    <t>Retrieve Front</t>
  </si>
  <si>
    <t>Update Front</t>
  </si>
  <si>
    <t>Sps de Retrieve, Servicio Retrieve Back</t>
  </si>
  <si>
    <t>Sps de Update, Servicio Update Back</t>
  </si>
  <si>
    <t>Formatos de Actividades del Proyecto, Seguimiento,Hoja de ruta</t>
  </si>
  <si>
    <t>Consulta de Certificaciones Presupuestarias</t>
  </si>
  <si>
    <t>Feriado</t>
  </si>
  <si>
    <t>Acompañamiento procesos desarrollo, Hoja de Ruta, Seguimiento y soporte</t>
  </si>
  <si>
    <t>Sps Update, Servicio Post</t>
  </si>
  <si>
    <t>20 al 23 de Mayo 2024</t>
  </si>
  <si>
    <t>Se realiza el informe de planificación del sistema SFGPROV</t>
  </si>
  <si>
    <t>Informe de planificación del sistema SFGPROV</t>
  </si>
  <si>
    <t>27 al 31 de Mayo 2024</t>
  </si>
  <si>
    <t>Consulta de Certificaciones Presupuestarias - Por orden de la dirección se realiza el informe de planificación del sistema SFGPROV</t>
  </si>
  <si>
    <t>03 al 07 de Junio 2024</t>
  </si>
  <si>
    <t>Creacióa de Certificaciones Presupuestarias</t>
  </si>
  <si>
    <t>Insert Front</t>
  </si>
  <si>
    <t xml:space="preserve">Sps Insert, Creación de Servicio </t>
  </si>
  <si>
    <t>Anular Certificaciones Presupuestarias</t>
  </si>
  <si>
    <t>Front Anulación</t>
  </si>
  <si>
    <t>Sps, Api Rest</t>
  </si>
  <si>
    <t>10 al 14 de Junio 2024</t>
  </si>
  <si>
    <t xml:space="preserve">Sps para Grid de Certificaciones Presupuestarias </t>
  </si>
  <si>
    <t>Servicio para Grid de Certificaciones Presupuestarias</t>
  </si>
  <si>
    <t>Carga de Departamentos, Sps Servicio, Front</t>
  </si>
  <si>
    <t>Acompañamiento procesos desarrollo, Seguimiento y soporte</t>
  </si>
  <si>
    <t>Grid de Certificaciones Presupuestarias Front</t>
  </si>
  <si>
    <t>Insert Front de Certificaciones</t>
  </si>
  <si>
    <t>Creación de Certificaciones Presupuestarias</t>
  </si>
  <si>
    <t xml:space="preserve">Planificación de 03 al 05 de Julio 2024 </t>
  </si>
  <si>
    <t>03 al 05 de Julio 2024</t>
  </si>
  <si>
    <t>Norma Arcos</t>
  </si>
  <si>
    <t xml:space="preserve"> Certificación Presupuestaria - Agregación de partidas</t>
  </si>
  <si>
    <t xml:space="preserve"> Certificaciones Presupuestarias - Anulación de Certificaciones Presupuestaria</t>
  </si>
  <si>
    <t>Certificaciones Presupuestarias - Anulación de Partidas Presupuestaria</t>
  </si>
  <si>
    <t>Formatos de Actividades del Proyecto, HU, Seguimiento</t>
  </si>
  <si>
    <t>Acompañamiento procesos desarrollo, seguimiento y soporte</t>
  </si>
  <si>
    <t>Certificaciones Presupuestarias - Certificaciones Asociadas y Liquidación</t>
  </si>
  <si>
    <t>Grid de Partidas Presupuestarias Front, Servicio, Sps</t>
  </si>
  <si>
    <t>Servicio para Grid de Certificaciones Presupuestarias, Validaciones de Partidas</t>
  </si>
  <si>
    <t>Sps Servicio, Front de Certificaciones Asociadas</t>
  </si>
  <si>
    <t xml:space="preserve">Sps para Anulación de Certificaciones Presupuestarias, Servicio, Front </t>
  </si>
  <si>
    <t xml:space="preserve">Avance de 03 al 05 de Julio 2024 </t>
  </si>
  <si>
    <t>Consulta de Certificados con compromisos</t>
  </si>
  <si>
    <t>reporte y consultas</t>
  </si>
  <si>
    <t>12 al 16 de Agosto 2024</t>
  </si>
  <si>
    <t xml:space="preserve">Avance de 12 al 16 de Agosto 2024 </t>
  </si>
  <si>
    <t>Optimizacion Codig oSonar Qube</t>
  </si>
  <si>
    <t xml:space="preserve">Optimizacion Codig oSonar Qube
INFORME DE NECESIDAD PARA LA COMPRA DE LICENCIAS DE ARCGIS PRO Y EQUIPO DE COMPUTACIÓN </t>
  </si>
  <si>
    <t>Validaciones de liquidacion y anulacion</t>
  </si>
  <si>
    <t>Estados en la anulacion, campo es estaticos de estado, modificado ,ver saldo</t>
  </si>
  <si>
    <t>Validacion de boton Agregar y en proceso de liquidacion y anulacion</t>
  </si>
  <si>
    <t>Certificaciones</t>
  </si>
  <si>
    <t>Aprobar</t>
  </si>
  <si>
    <t>Aprobar-Prerequisitos</t>
  </si>
  <si>
    <t>Aprobacion por 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</si>
</sst>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1"/>
    <xf numFmtId="0" fontId="1" fillId="0" borderId="0" xfId="0" applyFont="1" applyAlignment="1">
      <alignment horizontal="left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9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2" fillId="2" borderId="0" xfId="1" applyAlignment="1">
      <alignment wrapText="1"/>
    </xf>
    <xf numFmtId="9" fontId="3" fillId="0" borderId="1" xfId="2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9" fontId="3" fillId="0" borderId="1" xfId="2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3">
    <cellStyle name="Énfasis1" xfId="1" builtinId="29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3016-3F11-4C50-B839-0399504CA3B1}">
  <dimension ref="A1:H10"/>
  <sheetViews>
    <sheetView workbookViewId="0">
      <selection activeCell="B7" sqref="B7"/>
    </sheetView>
  </sheetViews>
  <sheetFormatPr baseColWidth="10" defaultRowHeight="15" x14ac:dyDescent="0.25"/>
  <cols>
    <col min="2" max="2" width="21.7109375" customWidth="1"/>
    <col min="3" max="3" width="29.28515625" customWidth="1"/>
    <col min="4" max="4" width="13.7109375" bestFit="1" customWidth="1"/>
    <col min="5" max="5" width="17.28515625" bestFit="1" customWidth="1"/>
    <col min="7" max="7" width="14.140625" bestFit="1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9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t="s">
        <v>27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45.75" customHeight="1" x14ac:dyDescent="0.25">
      <c r="A6" s="11">
        <v>1</v>
      </c>
      <c r="B6" s="7" t="s">
        <v>19</v>
      </c>
      <c r="C6" s="7" t="s">
        <v>28</v>
      </c>
      <c r="D6" s="6">
        <v>45383</v>
      </c>
      <c r="E6" s="5">
        <v>0</v>
      </c>
      <c r="F6" s="6">
        <v>45383</v>
      </c>
      <c r="G6" s="5"/>
      <c r="H6" s="5"/>
    </row>
    <row r="7" spans="1:8" ht="44.25" customHeight="1" x14ac:dyDescent="0.25">
      <c r="A7" s="11">
        <v>2</v>
      </c>
      <c r="B7" s="7" t="s">
        <v>29</v>
      </c>
      <c r="C7" s="9" t="s">
        <v>23</v>
      </c>
      <c r="D7" s="6">
        <v>45384</v>
      </c>
      <c r="E7" s="5">
        <v>0</v>
      </c>
      <c r="F7" s="6">
        <v>45384</v>
      </c>
      <c r="G7" s="5"/>
      <c r="H7" s="5"/>
    </row>
    <row r="8" spans="1:8" ht="46.5" customHeight="1" x14ac:dyDescent="0.25">
      <c r="A8" s="11">
        <v>3</v>
      </c>
      <c r="B8" s="7" t="s">
        <v>26</v>
      </c>
      <c r="C8" s="10" t="s">
        <v>25</v>
      </c>
      <c r="D8" s="6">
        <v>45385</v>
      </c>
      <c r="E8" s="5">
        <v>0</v>
      </c>
      <c r="F8" s="6">
        <v>45385</v>
      </c>
      <c r="G8" s="5"/>
      <c r="H8" s="5"/>
    </row>
    <row r="9" spans="1:8" ht="27" x14ac:dyDescent="0.25">
      <c r="A9" s="11">
        <v>4</v>
      </c>
      <c r="B9" s="7" t="s">
        <v>20</v>
      </c>
      <c r="C9" s="7" t="s">
        <v>24</v>
      </c>
      <c r="D9" s="6">
        <v>45386</v>
      </c>
      <c r="E9" s="5">
        <v>0</v>
      </c>
      <c r="F9" s="6">
        <v>45386</v>
      </c>
      <c r="G9" s="5"/>
      <c r="H9" s="5"/>
    </row>
    <row r="10" spans="1:8" ht="45" x14ac:dyDescent="0.25">
      <c r="A10" s="12">
        <v>5</v>
      </c>
      <c r="B10" s="10" t="s">
        <v>21</v>
      </c>
      <c r="C10" s="10" t="s">
        <v>22</v>
      </c>
      <c r="D10" s="6">
        <v>45387</v>
      </c>
      <c r="E10" s="5">
        <v>0</v>
      </c>
      <c r="F10" s="6">
        <v>45387</v>
      </c>
      <c r="G10" s="8"/>
      <c r="H10" s="8"/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86E3-7339-4E37-B145-621F692D1518}">
  <dimension ref="A1:H11"/>
  <sheetViews>
    <sheetView tabSelected="1" view="pageBreakPreview" zoomScale="82" zoomScaleNormal="100" zoomScaleSheetLayoutView="82" workbookViewId="0">
      <selection activeCell="D6" sqref="D6:D10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hidden="1" customWidth="1"/>
  </cols>
  <sheetData>
    <row r="1" spans="1:8" x14ac:dyDescent="0.25">
      <c r="A1" s="32" t="s">
        <v>132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117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131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138</v>
      </c>
      <c r="C6" s="18" t="s">
        <v>140</v>
      </c>
      <c r="D6" s="27">
        <v>45530</v>
      </c>
      <c r="E6" s="28">
        <v>0</v>
      </c>
      <c r="F6" s="27">
        <f>D6</f>
        <v>45530</v>
      </c>
      <c r="G6" s="21"/>
      <c r="H6" s="21"/>
    </row>
    <row r="7" spans="1:8" ht="53.25" customHeight="1" x14ac:dyDescent="0.25">
      <c r="A7" s="17">
        <v>2</v>
      </c>
      <c r="B7" s="18" t="s">
        <v>138</v>
      </c>
      <c r="C7" s="18" t="s">
        <v>139</v>
      </c>
      <c r="D7" s="27">
        <v>45531</v>
      </c>
      <c r="E7" s="28">
        <v>0</v>
      </c>
      <c r="F7" s="27">
        <f t="shared" ref="F7:F10" si="0">D7</f>
        <v>45531</v>
      </c>
      <c r="G7" s="22"/>
      <c r="H7" s="21"/>
    </row>
    <row r="8" spans="1:8" ht="54.75" customHeight="1" x14ac:dyDescent="0.25">
      <c r="A8" s="17">
        <v>3</v>
      </c>
      <c r="B8" s="18" t="s">
        <v>138</v>
      </c>
      <c r="C8" s="18" t="s">
        <v>141</v>
      </c>
      <c r="D8" s="27">
        <v>45532</v>
      </c>
      <c r="E8" s="28">
        <v>0</v>
      </c>
      <c r="F8" s="27">
        <f t="shared" si="0"/>
        <v>45532</v>
      </c>
      <c r="G8" s="21"/>
      <c r="H8" s="21"/>
    </row>
    <row r="9" spans="1:8" ht="59.25" customHeight="1" x14ac:dyDescent="0.25">
      <c r="A9" s="17">
        <v>4</v>
      </c>
      <c r="B9" s="18" t="s">
        <v>138</v>
      </c>
      <c r="C9" s="18" t="s">
        <v>139</v>
      </c>
      <c r="D9" s="27">
        <v>45533</v>
      </c>
      <c r="E9" s="28">
        <v>0</v>
      </c>
      <c r="F9" s="27">
        <f t="shared" si="0"/>
        <v>45533</v>
      </c>
      <c r="G9" s="21"/>
      <c r="H9" s="21"/>
    </row>
    <row r="10" spans="1:8" ht="44.25" customHeight="1" x14ac:dyDescent="0.25">
      <c r="A10" s="23">
        <v>5</v>
      </c>
      <c r="B10" s="18" t="s">
        <v>138</v>
      </c>
      <c r="C10" s="18" t="s">
        <v>139</v>
      </c>
      <c r="D10" s="27">
        <v>45534</v>
      </c>
      <c r="E10" s="28">
        <v>0</v>
      </c>
      <c r="F10" s="27">
        <f t="shared" si="0"/>
        <v>45534</v>
      </c>
      <c r="G10" s="26"/>
      <c r="H10" s="21"/>
    </row>
    <row r="11" spans="1:8" x14ac:dyDescent="0.25">
      <c r="C11" s="3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9402-F699-4648-95D7-957A7E541B2C}">
  <dimension ref="A1:H11"/>
  <sheetViews>
    <sheetView view="pageBreakPreview" zoomScale="82" zoomScaleNormal="100" zoomScaleSheetLayoutView="82" workbookViewId="0">
      <selection activeCell="C9" sqref="C9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hidden="1" customWidth="1"/>
  </cols>
  <sheetData>
    <row r="1" spans="1:8" x14ac:dyDescent="0.25">
      <c r="A1" s="32" t="s">
        <v>132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117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131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129</v>
      </c>
      <c r="C6" s="18" t="s">
        <v>130</v>
      </c>
      <c r="D6" s="27">
        <v>45516</v>
      </c>
      <c r="E6" s="28">
        <v>0</v>
      </c>
      <c r="F6" s="27">
        <f>D6</f>
        <v>45516</v>
      </c>
      <c r="G6" s="21"/>
      <c r="H6" s="21"/>
    </row>
    <row r="7" spans="1:8" ht="53.25" customHeight="1" x14ac:dyDescent="0.25">
      <c r="A7" s="17">
        <v>2</v>
      </c>
      <c r="B7" s="18" t="s">
        <v>129</v>
      </c>
      <c r="C7" s="18" t="s">
        <v>135</v>
      </c>
      <c r="D7" s="27">
        <v>45517</v>
      </c>
      <c r="E7" s="28">
        <v>0</v>
      </c>
      <c r="F7" s="27">
        <f t="shared" ref="F7:F10" si="0">D7</f>
        <v>45517</v>
      </c>
      <c r="G7" s="22"/>
      <c r="H7" s="21"/>
    </row>
    <row r="8" spans="1:8" ht="54.75" customHeight="1" x14ac:dyDescent="0.25">
      <c r="A8" s="17">
        <v>3</v>
      </c>
      <c r="B8" s="18" t="s">
        <v>129</v>
      </c>
      <c r="C8" s="18" t="s">
        <v>136</v>
      </c>
      <c r="D8" s="27">
        <v>45518</v>
      </c>
      <c r="E8" s="28">
        <v>0</v>
      </c>
      <c r="F8" s="27">
        <f t="shared" si="0"/>
        <v>45518</v>
      </c>
      <c r="G8" s="21"/>
      <c r="H8" s="21"/>
    </row>
    <row r="9" spans="1:8" ht="59.25" customHeight="1" x14ac:dyDescent="0.25">
      <c r="A9" s="17">
        <v>4</v>
      </c>
      <c r="B9" s="18" t="s">
        <v>138</v>
      </c>
      <c r="C9" s="18" t="s">
        <v>137</v>
      </c>
      <c r="D9" s="27">
        <v>45519</v>
      </c>
      <c r="E9" s="28">
        <v>0</v>
      </c>
      <c r="F9" s="27">
        <f t="shared" si="0"/>
        <v>45519</v>
      </c>
      <c r="G9" s="21"/>
      <c r="H9" s="21"/>
    </row>
    <row r="10" spans="1:8" ht="44.25" customHeight="1" x14ac:dyDescent="0.25">
      <c r="A10" s="23">
        <v>5</v>
      </c>
      <c r="B10" s="18" t="s">
        <v>138</v>
      </c>
      <c r="C10" s="18" t="s">
        <v>139</v>
      </c>
      <c r="D10" s="27">
        <v>45520</v>
      </c>
      <c r="E10" s="28">
        <v>0</v>
      </c>
      <c r="F10" s="27">
        <f t="shared" si="0"/>
        <v>45520</v>
      </c>
      <c r="G10" s="26"/>
      <c r="H10" s="21"/>
    </row>
    <row r="11" spans="1:8" x14ac:dyDescent="0.25">
      <c r="C11" s="3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BE31-A53A-4995-8121-B3445A699448}">
  <dimension ref="A1:H11"/>
  <sheetViews>
    <sheetView view="pageBreakPreview" zoomScale="82" zoomScaleNormal="100" zoomScaleSheetLayoutView="82" workbookViewId="0">
      <selection activeCell="B10" sqref="B10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hidden="1" customWidth="1"/>
  </cols>
  <sheetData>
    <row r="1" spans="1:8" x14ac:dyDescent="0.25">
      <c r="A1" s="32" t="s">
        <v>132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117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131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129</v>
      </c>
      <c r="C6" s="18" t="s">
        <v>130</v>
      </c>
      <c r="D6" s="27">
        <v>45516</v>
      </c>
      <c r="E6" s="28">
        <v>0</v>
      </c>
      <c r="F6" s="27">
        <f>D6</f>
        <v>45516</v>
      </c>
      <c r="G6" s="21"/>
      <c r="H6" s="21"/>
    </row>
    <row r="7" spans="1:8" ht="53.25" customHeight="1" x14ac:dyDescent="0.25">
      <c r="A7" s="17">
        <v>2</v>
      </c>
      <c r="B7" s="18" t="s">
        <v>129</v>
      </c>
      <c r="C7" s="18" t="s">
        <v>129</v>
      </c>
      <c r="D7" s="27">
        <v>45517</v>
      </c>
      <c r="E7" s="28">
        <v>0</v>
      </c>
      <c r="F7" s="27">
        <f t="shared" ref="F7:F10" si="0">D7</f>
        <v>45517</v>
      </c>
      <c r="G7" s="22"/>
      <c r="H7" s="21"/>
    </row>
    <row r="8" spans="1:8" ht="54.75" customHeight="1" x14ac:dyDescent="0.25">
      <c r="A8" s="17">
        <v>3</v>
      </c>
      <c r="B8" s="18" t="s">
        <v>133</v>
      </c>
      <c r="C8" s="18" t="s">
        <v>133</v>
      </c>
      <c r="D8" s="27">
        <v>45518</v>
      </c>
      <c r="E8" s="28">
        <v>0</v>
      </c>
      <c r="F8" s="27">
        <f t="shared" si="0"/>
        <v>45518</v>
      </c>
      <c r="G8" s="21"/>
      <c r="H8" s="21"/>
    </row>
    <row r="9" spans="1:8" ht="59.25" customHeight="1" x14ac:dyDescent="0.25">
      <c r="A9" s="17">
        <v>4</v>
      </c>
      <c r="B9" s="18" t="s">
        <v>133</v>
      </c>
      <c r="C9" s="18" t="s">
        <v>134</v>
      </c>
      <c r="D9" s="27">
        <v>45519</v>
      </c>
      <c r="E9" s="28">
        <v>0</v>
      </c>
      <c r="F9" s="27">
        <f t="shared" si="0"/>
        <v>45519</v>
      </c>
      <c r="G9" s="21"/>
      <c r="H9" s="21"/>
    </row>
    <row r="10" spans="1:8" ht="44.25" customHeight="1" x14ac:dyDescent="0.25">
      <c r="A10" s="23">
        <v>5</v>
      </c>
      <c r="B10" s="18" t="s">
        <v>129</v>
      </c>
      <c r="C10" s="18" t="s">
        <v>129</v>
      </c>
      <c r="D10" s="27">
        <v>45520</v>
      </c>
      <c r="E10" s="28">
        <v>0</v>
      </c>
      <c r="F10" s="27">
        <f t="shared" si="0"/>
        <v>45520</v>
      </c>
      <c r="G10" s="26"/>
      <c r="H10" s="21"/>
    </row>
    <row r="11" spans="1:8" x14ac:dyDescent="0.25">
      <c r="C11" s="3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D4BB-6E41-41D9-A57D-3348B6E565EE}">
  <dimension ref="A1:H11"/>
  <sheetViews>
    <sheetView view="pageBreakPreview" zoomScale="82" zoomScaleNormal="100" zoomScaleSheetLayoutView="82" workbookViewId="0">
      <selection activeCell="B12" sqref="B12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hidden="1" customWidth="1"/>
  </cols>
  <sheetData>
    <row r="1" spans="1:8" x14ac:dyDescent="0.25">
      <c r="A1" s="32" t="s">
        <v>128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117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116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118</v>
      </c>
      <c r="C6" s="18" t="s">
        <v>124</v>
      </c>
      <c r="D6" s="27">
        <v>45476</v>
      </c>
      <c r="E6" s="28">
        <v>1</v>
      </c>
      <c r="F6" s="27">
        <f>D6</f>
        <v>45476</v>
      </c>
      <c r="G6" s="21"/>
      <c r="H6" s="21"/>
    </row>
    <row r="7" spans="1:8" ht="53.25" customHeight="1" x14ac:dyDescent="0.25">
      <c r="A7" s="17">
        <v>2</v>
      </c>
      <c r="B7" s="18" t="s">
        <v>119</v>
      </c>
      <c r="C7" s="18" t="s">
        <v>127</v>
      </c>
      <c r="D7" s="27">
        <v>45477</v>
      </c>
      <c r="E7" s="28">
        <v>1</v>
      </c>
      <c r="F7" s="27">
        <f t="shared" ref="F7:F10" si="0">D7</f>
        <v>45477</v>
      </c>
      <c r="G7" s="22"/>
      <c r="H7" s="21"/>
    </row>
    <row r="8" spans="1:8" ht="54.75" customHeight="1" x14ac:dyDescent="0.25">
      <c r="A8" s="17">
        <v>3</v>
      </c>
      <c r="B8" s="18" t="s">
        <v>120</v>
      </c>
      <c r="C8" s="18" t="s">
        <v>125</v>
      </c>
      <c r="D8" s="27">
        <v>45478</v>
      </c>
      <c r="E8" s="28">
        <v>1</v>
      </c>
      <c r="F8" s="27">
        <f t="shared" si="0"/>
        <v>45478</v>
      </c>
      <c r="G8" s="21"/>
      <c r="H8" s="21"/>
    </row>
    <row r="9" spans="1:8" ht="59.25" customHeight="1" x14ac:dyDescent="0.25">
      <c r="A9" s="17">
        <v>4</v>
      </c>
      <c r="B9" s="18" t="s">
        <v>123</v>
      </c>
      <c r="C9" s="18" t="s">
        <v>126</v>
      </c>
      <c r="D9" s="27">
        <v>45479</v>
      </c>
      <c r="E9" s="28">
        <v>1</v>
      </c>
      <c r="F9" s="27">
        <f t="shared" si="0"/>
        <v>45479</v>
      </c>
      <c r="G9" s="21"/>
      <c r="H9" s="21"/>
    </row>
    <row r="10" spans="1:8" ht="44.25" customHeight="1" x14ac:dyDescent="0.25">
      <c r="A10" s="23">
        <v>5</v>
      </c>
      <c r="B10" s="30" t="s">
        <v>121</v>
      </c>
      <c r="C10" s="18" t="s">
        <v>122</v>
      </c>
      <c r="D10" s="27">
        <v>45479</v>
      </c>
      <c r="E10" s="29">
        <v>0.5</v>
      </c>
      <c r="F10" s="27">
        <f t="shared" si="0"/>
        <v>45479</v>
      </c>
      <c r="G10" s="26"/>
      <c r="H10" s="21"/>
    </row>
    <row r="11" spans="1:8" x14ac:dyDescent="0.25">
      <c r="C11" s="3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9BF2-CB4C-4B77-8C9D-22C64AA516C4}">
  <dimension ref="A1:H11"/>
  <sheetViews>
    <sheetView view="pageBreakPreview" zoomScale="82" zoomScaleNormal="100" zoomScaleSheetLayoutView="82" workbookViewId="0">
      <selection activeCell="D9" sqref="D9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hidden="1" customWidth="1"/>
  </cols>
  <sheetData>
    <row r="1" spans="1:8" x14ac:dyDescent="0.25">
      <c r="A1" s="32" t="s">
        <v>115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117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116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118</v>
      </c>
      <c r="C6" s="18" t="s">
        <v>124</v>
      </c>
      <c r="D6" s="27">
        <v>45476</v>
      </c>
      <c r="E6" s="28">
        <v>0</v>
      </c>
      <c r="F6" s="27">
        <f>D6</f>
        <v>45476</v>
      </c>
      <c r="G6" s="21"/>
      <c r="H6" s="21"/>
    </row>
    <row r="7" spans="1:8" ht="53.25" customHeight="1" x14ac:dyDescent="0.25">
      <c r="A7" s="17">
        <v>2</v>
      </c>
      <c r="B7" s="18" t="s">
        <v>119</v>
      </c>
      <c r="C7" s="18" t="s">
        <v>127</v>
      </c>
      <c r="D7" s="27">
        <v>45477</v>
      </c>
      <c r="E7" s="28">
        <v>0</v>
      </c>
      <c r="F7" s="27">
        <f t="shared" ref="F7:F10" si="0">D7</f>
        <v>45477</v>
      </c>
      <c r="G7" s="22"/>
      <c r="H7" s="21"/>
    </row>
    <row r="8" spans="1:8" ht="54.75" customHeight="1" x14ac:dyDescent="0.25">
      <c r="A8" s="17">
        <v>3</v>
      </c>
      <c r="B8" s="18" t="s">
        <v>120</v>
      </c>
      <c r="C8" s="18" t="s">
        <v>125</v>
      </c>
      <c r="D8" s="27">
        <v>45478</v>
      </c>
      <c r="E8" s="28">
        <v>0</v>
      </c>
      <c r="F8" s="27">
        <f t="shared" si="0"/>
        <v>45478</v>
      </c>
      <c r="G8" s="21"/>
      <c r="H8" s="21"/>
    </row>
    <row r="9" spans="1:8" ht="59.25" customHeight="1" x14ac:dyDescent="0.25">
      <c r="A9" s="17">
        <v>4</v>
      </c>
      <c r="B9" s="18" t="s">
        <v>123</v>
      </c>
      <c r="C9" s="18" t="s">
        <v>126</v>
      </c>
      <c r="D9" s="27">
        <v>45479</v>
      </c>
      <c r="E9" s="28">
        <v>0</v>
      </c>
      <c r="F9" s="27">
        <f t="shared" si="0"/>
        <v>45479</v>
      </c>
      <c r="G9" s="21"/>
      <c r="H9" s="21"/>
    </row>
    <row r="10" spans="1:8" ht="44.25" customHeight="1" x14ac:dyDescent="0.25">
      <c r="A10" s="23">
        <v>5</v>
      </c>
      <c r="B10" s="30" t="s">
        <v>121</v>
      </c>
      <c r="C10" s="18" t="s">
        <v>122</v>
      </c>
      <c r="D10" s="27">
        <v>45479</v>
      </c>
      <c r="E10" s="29">
        <v>0</v>
      </c>
      <c r="F10" s="27">
        <f t="shared" si="0"/>
        <v>45479</v>
      </c>
      <c r="G10" s="26"/>
      <c r="H10" s="21"/>
    </row>
    <row r="11" spans="1:8" x14ac:dyDescent="0.25">
      <c r="C11" s="3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9A44-B250-443E-8AD6-A2345BEF6CCA}">
  <dimension ref="A1:H11"/>
  <sheetViews>
    <sheetView view="pageBreakPreview" zoomScale="82" zoomScaleNormal="100" zoomScaleSheetLayoutView="82" workbookViewId="0">
      <selection activeCell="B9" sqref="B9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107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114</v>
      </c>
      <c r="C6" s="18" t="s">
        <v>112</v>
      </c>
      <c r="D6" s="27">
        <v>45453</v>
      </c>
      <c r="E6" s="28">
        <v>0</v>
      </c>
      <c r="F6" s="27">
        <f>D6</f>
        <v>45453</v>
      </c>
      <c r="G6" s="21"/>
      <c r="H6" s="21"/>
    </row>
    <row r="7" spans="1:8" ht="53.25" customHeight="1" x14ac:dyDescent="0.25">
      <c r="A7" s="17">
        <v>2</v>
      </c>
      <c r="B7" s="18" t="s">
        <v>114</v>
      </c>
      <c r="C7" s="18" t="s">
        <v>108</v>
      </c>
      <c r="D7" s="27">
        <v>45454</v>
      </c>
      <c r="E7" s="28">
        <v>0</v>
      </c>
      <c r="F7" s="27">
        <f t="shared" ref="F7:F10" si="0">D7</f>
        <v>45454</v>
      </c>
      <c r="G7" s="22"/>
      <c r="H7" s="21"/>
    </row>
    <row r="8" spans="1:8" ht="54.75" customHeight="1" x14ac:dyDescent="0.25">
      <c r="A8" s="17">
        <v>3</v>
      </c>
      <c r="B8" s="18" t="s">
        <v>114</v>
      </c>
      <c r="C8" s="18" t="s">
        <v>109</v>
      </c>
      <c r="D8" s="27">
        <v>45455</v>
      </c>
      <c r="E8" s="28">
        <v>0</v>
      </c>
      <c r="F8" s="27">
        <f t="shared" si="0"/>
        <v>45455</v>
      </c>
      <c r="G8" s="21"/>
      <c r="H8" s="21"/>
    </row>
    <row r="9" spans="1:8" ht="59.25" customHeight="1" x14ac:dyDescent="0.25">
      <c r="A9" s="17">
        <v>4</v>
      </c>
      <c r="B9" s="18" t="s">
        <v>114</v>
      </c>
      <c r="C9" s="18" t="s">
        <v>110</v>
      </c>
      <c r="D9" s="27">
        <v>45456</v>
      </c>
      <c r="E9" s="28">
        <v>0</v>
      </c>
      <c r="F9" s="27">
        <f t="shared" si="0"/>
        <v>45456</v>
      </c>
      <c r="G9" s="21"/>
      <c r="H9" s="21"/>
    </row>
    <row r="10" spans="1:8" ht="44.25" customHeight="1" x14ac:dyDescent="0.25">
      <c r="A10" s="23">
        <v>5</v>
      </c>
      <c r="B10" s="30" t="s">
        <v>67</v>
      </c>
      <c r="C10" s="18" t="s">
        <v>111</v>
      </c>
      <c r="D10" s="27">
        <v>45457</v>
      </c>
      <c r="E10" s="29">
        <v>0</v>
      </c>
      <c r="F10" s="27">
        <f t="shared" si="0"/>
        <v>45457</v>
      </c>
      <c r="G10" s="26"/>
      <c r="H10" s="21"/>
    </row>
    <row r="11" spans="1:8" x14ac:dyDescent="0.25">
      <c r="C11" s="3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6D2D-8964-4D54-860A-A12D23022678}">
  <dimension ref="A1:H10"/>
  <sheetViews>
    <sheetView view="pageBreakPreview" zoomScale="80" zoomScaleNormal="100" zoomScaleSheetLayoutView="80" workbookViewId="0">
      <selection activeCell="B10" sqref="B10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customWidth="1"/>
  </cols>
  <sheetData>
    <row r="1" spans="1:8" x14ac:dyDescent="0.25">
      <c r="A1" s="32" t="s">
        <v>59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100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114</v>
      </c>
      <c r="C6" s="18" t="s">
        <v>113</v>
      </c>
      <c r="D6" s="27">
        <v>45446</v>
      </c>
      <c r="E6" s="28">
        <v>1</v>
      </c>
      <c r="F6" s="27">
        <f>D6</f>
        <v>45446</v>
      </c>
      <c r="G6" s="21"/>
      <c r="H6" s="21"/>
    </row>
    <row r="7" spans="1:8" ht="53.25" customHeight="1" x14ac:dyDescent="0.25">
      <c r="A7" s="17">
        <v>2</v>
      </c>
      <c r="B7" s="18" t="s">
        <v>114</v>
      </c>
      <c r="C7" s="18" t="s">
        <v>103</v>
      </c>
      <c r="D7" s="27">
        <v>45447</v>
      </c>
      <c r="E7" s="28">
        <v>1</v>
      </c>
      <c r="F7" s="27">
        <f t="shared" ref="F7:F10" si="0">D7</f>
        <v>45447</v>
      </c>
      <c r="G7" s="22"/>
      <c r="H7" s="21"/>
    </row>
    <row r="8" spans="1:8" ht="54.75" customHeight="1" x14ac:dyDescent="0.25">
      <c r="A8" s="17">
        <v>3</v>
      </c>
      <c r="B8" s="18" t="s">
        <v>104</v>
      </c>
      <c r="C8" s="18" t="s">
        <v>106</v>
      </c>
      <c r="D8" s="27">
        <v>45448</v>
      </c>
      <c r="E8" s="28">
        <v>0.5</v>
      </c>
      <c r="F8" s="27">
        <f t="shared" si="0"/>
        <v>45448</v>
      </c>
      <c r="G8" s="21"/>
      <c r="H8" s="21"/>
    </row>
    <row r="9" spans="1:8" ht="59.25" customHeight="1" x14ac:dyDescent="0.25">
      <c r="A9" s="17">
        <v>4</v>
      </c>
      <c r="B9" s="18" t="s">
        <v>104</v>
      </c>
      <c r="C9" s="18" t="s">
        <v>105</v>
      </c>
      <c r="D9" s="27">
        <v>45449</v>
      </c>
      <c r="E9" s="28">
        <v>0.5</v>
      </c>
      <c r="F9" s="27">
        <f t="shared" si="0"/>
        <v>45449</v>
      </c>
      <c r="G9" s="21"/>
      <c r="H9" s="21"/>
    </row>
    <row r="10" spans="1:8" ht="44.25" customHeight="1" x14ac:dyDescent="0.25">
      <c r="A10" s="23">
        <v>5</v>
      </c>
      <c r="B10" s="18" t="s">
        <v>67</v>
      </c>
      <c r="C10" s="18" t="s">
        <v>79</v>
      </c>
      <c r="D10" s="27">
        <v>45450</v>
      </c>
      <c r="E10" s="29">
        <v>1</v>
      </c>
      <c r="F10" s="27">
        <f t="shared" si="0"/>
        <v>45450</v>
      </c>
      <c r="G10" s="26"/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7D14-CD59-4BD8-86F6-626D01D82BDB}">
  <dimension ref="A1:H10"/>
  <sheetViews>
    <sheetView view="pageBreakPreview" zoomScale="60" zoomScaleNormal="100" workbookViewId="0">
      <selection activeCell="C18" sqref="C18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100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101</v>
      </c>
      <c r="C6" s="18" t="s">
        <v>102</v>
      </c>
      <c r="D6" s="27">
        <v>45446</v>
      </c>
      <c r="E6" s="28">
        <v>0</v>
      </c>
      <c r="F6" s="27">
        <f>D6</f>
        <v>45446</v>
      </c>
      <c r="G6" s="21"/>
      <c r="H6" s="21"/>
    </row>
    <row r="7" spans="1:8" ht="53.25" customHeight="1" x14ac:dyDescent="0.25">
      <c r="A7" s="17">
        <v>2</v>
      </c>
      <c r="B7" s="18" t="s">
        <v>101</v>
      </c>
      <c r="C7" s="18" t="s">
        <v>103</v>
      </c>
      <c r="D7" s="27">
        <v>45447</v>
      </c>
      <c r="E7" s="28">
        <v>0</v>
      </c>
      <c r="F7" s="27">
        <f t="shared" ref="F7:F10" si="0">D7</f>
        <v>45447</v>
      </c>
      <c r="G7" s="22"/>
      <c r="H7" s="21"/>
    </row>
    <row r="8" spans="1:8" ht="54.75" customHeight="1" x14ac:dyDescent="0.25">
      <c r="A8" s="17">
        <v>3</v>
      </c>
      <c r="B8" s="18" t="s">
        <v>104</v>
      </c>
      <c r="C8" s="18" t="s">
        <v>106</v>
      </c>
      <c r="D8" s="27">
        <v>45448</v>
      </c>
      <c r="E8" s="28">
        <v>0</v>
      </c>
      <c r="F8" s="27">
        <f t="shared" si="0"/>
        <v>45448</v>
      </c>
      <c r="G8" s="21"/>
      <c r="H8" s="21"/>
    </row>
    <row r="9" spans="1:8" ht="59.25" customHeight="1" x14ac:dyDescent="0.25">
      <c r="A9" s="17">
        <v>4</v>
      </c>
      <c r="B9" s="18" t="s">
        <v>104</v>
      </c>
      <c r="C9" s="18" t="s">
        <v>105</v>
      </c>
      <c r="D9" s="27">
        <v>45449</v>
      </c>
      <c r="E9" s="28">
        <v>0</v>
      </c>
      <c r="F9" s="27">
        <f t="shared" si="0"/>
        <v>45449</v>
      </c>
      <c r="G9" s="21"/>
      <c r="H9" s="21"/>
    </row>
    <row r="10" spans="1:8" ht="44.25" customHeight="1" x14ac:dyDescent="0.25">
      <c r="A10" s="23">
        <v>5</v>
      </c>
      <c r="B10" s="24" t="s">
        <v>67</v>
      </c>
      <c r="C10" s="18" t="s">
        <v>79</v>
      </c>
      <c r="D10" s="27">
        <v>45450</v>
      </c>
      <c r="E10" s="25">
        <v>0</v>
      </c>
      <c r="F10" s="19">
        <f t="shared" si="0"/>
        <v>45450</v>
      </c>
      <c r="G10" s="26"/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3A85-448E-44C9-8671-5E5E303DDE61}">
  <dimension ref="A1:H10"/>
  <sheetViews>
    <sheetView view="pageBreakPreview" zoomScale="60" zoomScaleNormal="100" workbookViewId="0">
      <selection activeCell="C16" sqref="C16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customWidth="1"/>
  </cols>
  <sheetData>
    <row r="1" spans="1:8" x14ac:dyDescent="0.25">
      <c r="A1" s="32" t="s">
        <v>59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98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97</v>
      </c>
      <c r="C6" s="18" t="s">
        <v>97</v>
      </c>
      <c r="D6" s="27">
        <v>45439</v>
      </c>
      <c r="E6" s="28">
        <v>1</v>
      </c>
      <c r="F6" s="27">
        <f>D6</f>
        <v>45439</v>
      </c>
      <c r="G6" s="21"/>
      <c r="H6" s="21"/>
    </row>
    <row r="7" spans="1:8" ht="53.25" customHeight="1" x14ac:dyDescent="0.25">
      <c r="A7" s="17">
        <v>2</v>
      </c>
      <c r="B7" s="18" t="s">
        <v>97</v>
      </c>
      <c r="C7" s="18" t="s">
        <v>97</v>
      </c>
      <c r="D7" s="27">
        <v>45440</v>
      </c>
      <c r="E7" s="28">
        <v>1</v>
      </c>
      <c r="F7" s="27">
        <f t="shared" ref="F7:F10" si="0">D7</f>
        <v>45440</v>
      </c>
      <c r="G7" s="22"/>
      <c r="H7" s="21"/>
    </row>
    <row r="8" spans="1:8" ht="54.75" customHeight="1" x14ac:dyDescent="0.25">
      <c r="A8" s="17">
        <v>3</v>
      </c>
      <c r="B8" s="18" t="s">
        <v>91</v>
      </c>
      <c r="C8" s="18" t="s">
        <v>86</v>
      </c>
      <c r="D8" s="27">
        <v>45441</v>
      </c>
      <c r="E8" s="28">
        <v>1</v>
      </c>
      <c r="F8" s="27">
        <f t="shared" si="0"/>
        <v>45441</v>
      </c>
      <c r="G8" s="21"/>
      <c r="H8" s="21"/>
    </row>
    <row r="9" spans="1:8" ht="59.25" customHeight="1" x14ac:dyDescent="0.25">
      <c r="A9" s="17">
        <v>4</v>
      </c>
      <c r="B9" s="18" t="s">
        <v>91</v>
      </c>
      <c r="C9" s="18" t="s">
        <v>94</v>
      </c>
      <c r="D9" s="27">
        <v>45442</v>
      </c>
      <c r="E9" s="28">
        <v>1</v>
      </c>
      <c r="F9" s="27">
        <f t="shared" si="0"/>
        <v>45442</v>
      </c>
      <c r="G9" s="21"/>
      <c r="H9" s="21"/>
    </row>
    <row r="10" spans="1:8" ht="44.25" customHeight="1" x14ac:dyDescent="0.25">
      <c r="A10" s="23">
        <v>5</v>
      </c>
      <c r="B10" s="24" t="s">
        <v>67</v>
      </c>
      <c r="C10" s="18" t="s">
        <v>79</v>
      </c>
      <c r="D10" s="27">
        <v>45443</v>
      </c>
      <c r="E10" s="25">
        <v>1</v>
      </c>
      <c r="F10" s="19">
        <f t="shared" si="0"/>
        <v>45443</v>
      </c>
      <c r="G10" s="26"/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F10F-0DEE-4A92-A412-6A26EAC2257A}">
  <dimension ref="A1:H10"/>
  <sheetViews>
    <sheetView view="pageBreakPreview" zoomScale="60" zoomScaleNormal="100" workbookViewId="0">
      <selection activeCell="E8" sqref="E8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98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97</v>
      </c>
      <c r="C6" s="18" t="s">
        <v>97</v>
      </c>
      <c r="D6" s="27">
        <v>45439</v>
      </c>
      <c r="E6" s="28">
        <v>0</v>
      </c>
      <c r="F6" s="27">
        <f>D6</f>
        <v>45439</v>
      </c>
      <c r="G6" s="21"/>
      <c r="H6" s="21"/>
    </row>
    <row r="7" spans="1:8" ht="53.25" customHeight="1" x14ac:dyDescent="0.25">
      <c r="A7" s="17">
        <v>2</v>
      </c>
      <c r="B7" s="18" t="s">
        <v>97</v>
      </c>
      <c r="C7" s="18" t="s">
        <v>97</v>
      </c>
      <c r="D7" s="27">
        <v>45440</v>
      </c>
      <c r="E7" s="28">
        <v>0</v>
      </c>
      <c r="F7" s="27">
        <f t="shared" ref="F7:F10" si="0">D7</f>
        <v>45440</v>
      </c>
      <c r="G7" s="22"/>
      <c r="H7" s="21"/>
    </row>
    <row r="8" spans="1:8" ht="54.75" customHeight="1" x14ac:dyDescent="0.25">
      <c r="A8" s="17">
        <v>3</v>
      </c>
      <c r="B8" s="18" t="s">
        <v>91</v>
      </c>
      <c r="C8" s="18" t="s">
        <v>86</v>
      </c>
      <c r="D8" s="27">
        <v>45441</v>
      </c>
      <c r="E8" s="28">
        <v>0</v>
      </c>
      <c r="F8" s="27">
        <f t="shared" si="0"/>
        <v>45441</v>
      </c>
      <c r="G8" s="21"/>
      <c r="H8" s="21"/>
    </row>
    <row r="9" spans="1:8" ht="59.25" customHeight="1" x14ac:dyDescent="0.25">
      <c r="A9" s="17">
        <v>4</v>
      </c>
      <c r="B9" s="18" t="s">
        <v>91</v>
      </c>
      <c r="C9" s="18" t="s">
        <v>94</v>
      </c>
      <c r="D9" s="27">
        <v>45442</v>
      </c>
      <c r="E9" s="28">
        <v>0</v>
      </c>
      <c r="F9" s="27">
        <f t="shared" si="0"/>
        <v>45442</v>
      </c>
      <c r="G9" s="21"/>
      <c r="H9" s="21"/>
    </row>
    <row r="10" spans="1:8" ht="44.25" customHeight="1" x14ac:dyDescent="0.25">
      <c r="A10" s="23">
        <v>5</v>
      </c>
      <c r="B10" s="24" t="s">
        <v>67</v>
      </c>
      <c r="C10" s="18" t="s">
        <v>79</v>
      </c>
      <c r="D10" s="27">
        <v>45443</v>
      </c>
      <c r="E10" s="25">
        <v>0</v>
      </c>
      <c r="F10" s="19">
        <f t="shared" si="0"/>
        <v>45443</v>
      </c>
      <c r="G10" s="26"/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BB63-84F9-4CD9-BC86-9E930CEF96DA}">
  <dimension ref="A1:H10"/>
  <sheetViews>
    <sheetView view="pageBreakPreview" zoomScale="60" zoomScaleNormal="100" workbookViewId="0">
      <selection activeCell="B10" sqref="B10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customWidth="1"/>
  </cols>
  <sheetData>
    <row r="1" spans="1:8" x14ac:dyDescent="0.25">
      <c r="A1" s="32" t="s">
        <v>59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95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91</v>
      </c>
      <c r="C6" s="18" t="s">
        <v>88</v>
      </c>
      <c r="D6" s="27">
        <v>45432</v>
      </c>
      <c r="E6" s="28">
        <v>0.5</v>
      </c>
      <c r="F6" s="27">
        <f>D6</f>
        <v>45432</v>
      </c>
      <c r="G6" s="21"/>
      <c r="H6" s="21"/>
    </row>
    <row r="7" spans="1:8" ht="53.25" customHeight="1" x14ac:dyDescent="0.25">
      <c r="A7" s="17">
        <v>2</v>
      </c>
      <c r="B7" s="24" t="s">
        <v>90</v>
      </c>
      <c r="C7" s="18" t="s">
        <v>93</v>
      </c>
      <c r="D7" s="27">
        <v>45433</v>
      </c>
      <c r="E7" s="28">
        <v>0.1</v>
      </c>
      <c r="F7" s="27">
        <f t="shared" ref="F7:F10" si="0">D7</f>
        <v>45433</v>
      </c>
      <c r="G7" s="22"/>
      <c r="H7" s="21"/>
    </row>
    <row r="8" spans="1:8" ht="72.75" customHeight="1" x14ac:dyDescent="0.25">
      <c r="A8" s="17">
        <v>3</v>
      </c>
      <c r="B8" s="18" t="s">
        <v>99</v>
      </c>
      <c r="C8" s="18" t="s">
        <v>96</v>
      </c>
      <c r="D8" s="27">
        <v>45434</v>
      </c>
      <c r="E8" s="28">
        <v>0.05</v>
      </c>
      <c r="F8" s="27">
        <f t="shared" si="0"/>
        <v>45434</v>
      </c>
      <c r="G8" s="21"/>
      <c r="H8" s="21"/>
    </row>
    <row r="9" spans="1:8" ht="72" customHeight="1" x14ac:dyDescent="0.25">
      <c r="A9" s="17">
        <v>4</v>
      </c>
      <c r="B9" s="18" t="s">
        <v>99</v>
      </c>
      <c r="C9" s="18" t="s">
        <v>96</v>
      </c>
      <c r="D9" s="27">
        <v>45435</v>
      </c>
      <c r="E9" s="28">
        <v>0.05</v>
      </c>
      <c r="F9" s="27">
        <f t="shared" si="0"/>
        <v>45435</v>
      </c>
      <c r="G9" s="21"/>
      <c r="H9" s="21"/>
    </row>
    <row r="10" spans="1:8" ht="44.25" customHeight="1" x14ac:dyDescent="0.25">
      <c r="A10" s="23">
        <v>5</v>
      </c>
      <c r="B10" s="24" t="s">
        <v>90</v>
      </c>
      <c r="C10" s="18" t="s">
        <v>79</v>
      </c>
      <c r="D10" s="19">
        <v>45436</v>
      </c>
      <c r="E10" s="25">
        <v>0</v>
      </c>
      <c r="F10" s="19">
        <f t="shared" si="0"/>
        <v>45436</v>
      </c>
      <c r="G10" s="26" t="s">
        <v>92</v>
      </c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962B-9ECD-4BF8-B9E4-7BBB4D83FB8F}">
  <dimension ref="A1:H10"/>
  <sheetViews>
    <sheetView view="pageBreakPreview" zoomScale="60" zoomScaleNormal="100" workbookViewId="0">
      <selection activeCell="D14" sqref="D14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95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91</v>
      </c>
      <c r="C6" s="18" t="s">
        <v>88</v>
      </c>
      <c r="D6" s="27">
        <v>45432</v>
      </c>
      <c r="E6" s="28">
        <v>0</v>
      </c>
      <c r="F6" s="27">
        <f>D6</f>
        <v>45432</v>
      </c>
      <c r="G6" s="21"/>
      <c r="H6" s="21"/>
    </row>
    <row r="7" spans="1:8" ht="53.25" customHeight="1" x14ac:dyDescent="0.25">
      <c r="A7" s="17">
        <v>2</v>
      </c>
      <c r="B7" s="24" t="s">
        <v>90</v>
      </c>
      <c r="C7" s="18" t="s">
        <v>93</v>
      </c>
      <c r="D7" s="27">
        <v>45433</v>
      </c>
      <c r="E7" s="28">
        <v>0</v>
      </c>
      <c r="F7" s="27">
        <f t="shared" ref="F7:F10" si="0">D7</f>
        <v>45433</v>
      </c>
      <c r="G7" s="22"/>
      <c r="H7" s="21"/>
    </row>
    <row r="8" spans="1:8" ht="54.75" customHeight="1" x14ac:dyDescent="0.25">
      <c r="A8" s="17">
        <v>3</v>
      </c>
      <c r="B8" s="18" t="s">
        <v>91</v>
      </c>
      <c r="C8" s="18" t="s">
        <v>86</v>
      </c>
      <c r="D8" s="27">
        <v>45434</v>
      </c>
      <c r="E8" s="28">
        <v>0</v>
      </c>
      <c r="F8" s="27">
        <f t="shared" si="0"/>
        <v>45434</v>
      </c>
      <c r="G8" s="21"/>
      <c r="H8" s="21"/>
    </row>
    <row r="9" spans="1:8" ht="59.25" customHeight="1" x14ac:dyDescent="0.25">
      <c r="A9" s="17">
        <v>4</v>
      </c>
      <c r="B9" s="18" t="s">
        <v>91</v>
      </c>
      <c r="C9" s="18" t="s">
        <v>94</v>
      </c>
      <c r="D9" s="27">
        <v>45435</v>
      </c>
      <c r="E9" s="28">
        <v>0</v>
      </c>
      <c r="F9" s="27">
        <f t="shared" si="0"/>
        <v>45435</v>
      </c>
      <c r="G9" s="21"/>
      <c r="H9" s="21"/>
    </row>
    <row r="10" spans="1:8" ht="44.25" customHeight="1" x14ac:dyDescent="0.25">
      <c r="A10" s="23">
        <v>5</v>
      </c>
      <c r="B10" s="24" t="s">
        <v>90</v>
      </c>
      <c r="C10" s="18" t="s">
        <v>79</v>
      </c>
      <c r="D10" s="19">
        <v>45436</v>
      </c>
      <c r="E10" s="25">
        <v>0</v>
      </c>
      <c r="F10" s="19">
        <f t="shared" si="0"/>
        <v>45436</v>
      </c>
      <c r="G10" s="26" t="s">
        <v>92</v>
      </c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0E19-6DB6-4781-859D-79CFFD81D11F}">
  <dimension ref="A1:H10"/>
  <sheetViews>
    <sheetView view="pageBreakPreview" zoomScale="60" zoomScaleNormal="100" workbookViewId="0">
      <selection sqref="A1:H1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customWidth="1"/>
  </cols>
  <sheetData>
    <row r="1" spans="1:8" x14ac:dyDescent="0.25">
      <c r="A1" s="32" t="s">
        <v>59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84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85</v>
      </c>
      <c r="C6" s="18" t="s">
        <v>88</v>
      </c>
      <c r="D6" s="27">
        <v>45425</v>
      </c>
      <c r="E6" s="28">
        <v>1</v>
      </c>
      <c r="F6" s="27">
        <f>D6</f>
        <v>45425</v>
      </c>
      <c r="G6" s="21"/>
      <c r="H6" s="21"/>
    </row>
    <row r="7" spans="1:8" ht="53.25" customHeight="1" x14ac:dyDescent="0.25">
      <c r="A7" s="17">
        <v>2</v>
      </c>
      <c r="B7" s="18" t="s">
        <v>85</v>
      </c>
      <c r="C7" s="18" t="s">
        <v>86</v>
      </c>
      <c r="D7" s="27">
        <v>45426</v>
      </c>
      <c r="E7" s="28">
        <v>1</v>
      </c>
      <c r="F7" s="27">
        <f t="shared" ref="F7:F10" si="0">D7</f>
        <v>45426</v>
      </c>
      <c r="G7" s="22"/>
      <c r="H7" s="21"/>
    </row>
    <row r="8" spans="1:8" ht="54.75" customHeight="1" x14ac:dyDescent="0.25">
      <c r="A8" s="17">
        <v>3</v>
      </c>
      <c r="B8" s="18" t="s">
        <v>85</v>
      </c>
      <c r="C8" s="18" t="s">
        <v>89</v>
      </c>
      <c r="D8" s="27">
        <v>45427</v>
      </c>
      <c r="E8" s="28">
        <v>1</v>
      </c>
      <c r="F8" s="27">
        <f t="shared" si="0"/>
        <v>45427</v>
      </c>
      <c r="G8" s="22"/>
      <c r="H8" s="21"/>
    </row>
    <row r="9" spans="1:8" ht="59.25" customHeight="1" x14ac:dyDescent="0.25">
      <c r="A9" s="17">
        <v>4</v>
      </c>
      <c r="B9" s="18" t="s">
        <v>85</v>
      </c>
      <c r="C9" s="18" t="s">
        <v>87</v>
      </c>
      <c r="D9" s="27">
        <v>45428</v>
      </c>
      <c r="E9" s="28">
        <v>0.5</v>
      </c>
      <c r="F9" s="27">
        <f t="shared" si="0"/>
        <v>45428</v>
      </c>
      <c r="G9" s="22"/>
      <c r="H9" s="21"/>
    </row>
    <row r="10" spans="1:8" ht="44.25" customHeight="1" x14ac:dyDescent="0.25">
      <c r="A10" s="23">
        <v>5</v>
      </c>
      <c r="B10" s="24" t="s">
        <v>67</v>
      </c>
      <c r="C10" s="18" t="s">
        <v>79</v>
      </c>
      <c r="D10" s="27">
        <v>45429</v>
      </c>
      <c r="E10" s="29">
        <v>1</v>
      </c>
      <c r="F10" s="27">
        <f t="shared" si="0"/>
        <v>45429</v>
      </c>
      <c r="G10" s="26"/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42E26-DBFC-471A-91C8-9506164D5FB5}">
  <dimension ref="A1:H10"/>
  <sheetViews>
    <sheetView view="pageBreakPreview" zoomScale="60" zoomScaleNormal="100" workbookViewId="0">
      <selection activeCell="C10" sqref="C10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4" customWidth="1"/>
    <col min="7" max="7" width="14.140625" bestFit="1" customWidth="1"/>
    <col min="8" max="8" width="13.28515625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84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85</v>
      </c>
      <c r="C6" s="18" t="s">
        <v>88</v>
      </c>
      <c r="D6" s="19">
        <v>45425</v>
      </c>
      <c r="E6" s="20">
        <v>0</v>
      </c>
      <c r="F6" s="19">
        <f>D6</f>
        <v>45425</v>
      </c>
      <c r="G6" s="21"/>
      <c r="H6" s="21"/>
    </row>
    <row r="7" spans="1:8" ht="53.25" customHeight="1" x14ac:dyDescent="0.25">
      <c r="A7" s="17">
        <v>2</v>
      </c>
      <c r="B7" s="18" t="s">
        <v>85</v>
      </c>
      <c r="C7" s="18" t="s">
        <v>86</v>
      </c>
      <c r="D7" s="19">
        <v>45426</v>
      </c>
      <c r="E7" s="20">
        <v>0</v>
      </c>
      <c r="F7" s="19">
        <f t="shared" ref="F7:F10" si="0">D7</f>
        <v>45426</v>
      </c>
      <c r="G7" s="22"/>
      <c r="H7" s="21"/>
    </row>
    <row r="8" spans="1:8" ht="54.75" customHeight="1" x14ac:dyDescent="0.25">
      <c r="A8" s="17">
        <v>3</v>
      </c>
      <c r="B8" s="18" t="s">
        <v>85</v>
      </c>
      <c r="C8" s="18" t="s">
        <v>89</v>
      </c>
      <c r="D8" s="19">
        <v>45427</v>
      </c>
      <c r="E8" s="20">
        <v>0</v>
      </c>
      <c r="F8" s="19">
        <f t="shared" si="0"/>
        <v>45427</v>
      </c>
      <c r="G8" s="22"/>
      <c r="H8" s="21"/>
    </row>
    <row r="9" spans="1:8" ht="59.25" customHeight="1" x14ac:dyDescent="0.25">
      <c r="A9" s="17">
        <v>4</v>
      </c>
      <c r="B9" s="18" t="s">
        <v>85</v>
      </c>
      <c r="C9" s="18" t="s">
        <v>87</v>
      </c>
      <c r="D9" s="19">
        <v>45428</v>
      </c>
      <c r="E9" s="20">
        <v>0</v>
      </c>
      <c r="F9" s="19">
        <f t="shared" si="0"/>
        <v>45428</v>
      </c>
      <c r="G9" s="22"/>
      <c r="H9" s="21"/>
    </row>
    <row r="10" spans="1:8" ht="44.25" customHeight="1" x14ac:dyDescent="0.25">
      <c r="A10" s="23">
        <v>5</v>
      </c>
      <c r="B10" s="24" t="s">
        <v>67</v>
      </c>
      <c r="C10" s="18" t="s">
        <v>79</v>
      </c>
      <c r="D10" s="19">
        <v>45429</v>
      </c>
      <c r="E10" s="25">
        <v>0</v>
      </c>
      <c r="F10" s="19">
        <f t="shared" si="0"/>
        <v>45429</v>
      </c>
      <c r="G10" s="26"/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C57D-AC43-490D-9A70-6C1899B45E43}">
  <dimension ref="A1:H10"/>
  <sheetViews>
    <sheetView view="pageBreakPreview" zoomScale="60" zoomScaleNormal="100" workbookViewId="0">
      <selection activeCell="C15" sqref="C15:C16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6" max="6" width="12.28515625" bestFit="1" customWidth="1"/>
    <col min="7" max="7" width="14.140625" bestFit="1" customWidth="1"/>
    <col min="8" max="8" width="13.28515625" customWidth="1"/>
  </cols>
  <sheetData>
    <row r="1" spans="1:8" x14ac:dyDescent="0.25">
      <c r="A1" s="32" t="s">
        <v>59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72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73</v>
      </c>
      <c r="C6" s="18" t="s">
        <v>74</v>
      </c>
      <c r="D6" s="19">
        <v>45418</v>
      </c>
      <c r="E6" s="20">
        <v>0.2</v>
      </c>
      <c r="F6" s="19">
        <f>D6</f>
        <v>45418</v>
      </c>
      <c r="G6" s="21"/>
      <c r="H6" s="21"/>
    </row>
    <row r="7" spans="1:8" ht="53.25" customHeight="1" x14ac:dyDescent="0.25">
      <c r="A7" s="17">
        <v>2</v>
      </c>
      <c r="B7" s="18" t="s">
        <v>73</v>
      </c>
      <c r="C7" s="18" t="s">
        <v>75</v>
      </c>
      <c r="D7" s="19">
        <v>45419</v>
      </c>
      <c r="E7" s="20">
        <v>0.2</v>
      </c>
      <c r="F7" s="19">
        <f>D7</f>
        <v>45419</v>
      </c>
      <c r="G7" s="22"/>
      <c r="H7" s="21"/>
    </row>
    <row r="8" spans="1:8" ht="54.75" customHeight="1" x14ac:dyDescent="0.25">
      <c r="A8" s="17">
        <v>3</v>
      </c>
      <c r="B8" s="18" t="s">
        <v>73</v>
      </c>
      <c r="C8" s="18" t="s">
        <v>76</v>
      </c>
      <c r="D8" s="19">
        <v>45420</v>
      </c>
      <c r="E8" s="20">
        <v>0</v>
      </c>
      <c r="F8" s="19">
        <f>D8</f>
        <v>45420</v>
      </c>
      <c r="G8" s="22"/>
      <c r="H8" s="21"/>
    </row>
    <row r="9" spans="1:8" ht="59.25" customHeight="1" x14ac:dyDescent="0.25">
      <c r="A9" s="17">
        <v>4</v>
      </c>
      <c r="B9" s="18" t="s">
        <v>77</v>
      </c>
      <c r="C9" s="18" t="s">
        <v>78</v>
      </c>
      <c r="D9" s="19">
        <v>45421</v>
      </c>
      <c r="E9" s="20">
        <v>0.2</v>
      </c>
      <c r="F9" s="19">
        <f>D9</f>
        <v>45421</v>
      </c>
      <c r="G9" s="22"/>
      <c r="H9" s="21"/>
    </row>
    <row r="10" spans="1:8" ht="44.25" customHeight="1" x14ac:dyDescent="0.25">
      <c r="A10" s="23">
        <v>5</v>
      </c>
      <c r="B10" s="24" t="s">
        <v>67</v>
      </c>
      <c r="C10" s="18" t="s">
        <v>79</v>
      </c>
      <c r="D10" s="19">
        <v>45422</v>
      </c>
      <c r="E10" s="25" t="s">
        <v>83</v>
      </c>
      <c r="F10" s="19">
        <f>D10</f>
        <v>45422</v>
      </c>
      <c r="G10" s="26"/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9CBE-1312-487C-96BC-A097A1B29C0A}">
  <dimension ref="A1:H10"/>
  <sheetViews>
    <sheetView view="pageBreakPreview" zoomScale="60" zoomScaleNormal="100" workbookViewId="0">
      <selection activeCell="C17" sqref="C17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7" max="7" width="14.140625" bestFit="1" customWidth="1"/>
    <col min="8" max="8" width="13.28515625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72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73</v>
      </c>
      <c r="C6" s="18" t="s">
        <v>74</v>
      </c>
      <c r="D6" s="19">
        <v>45418</v>
      </c>
      <c r="E6" s="20">
        <v>0</v>
      </c>
      <c r="F6" s="19">
        <f>D6</f>
        <v>45418</v>
      </c>
      <c r="G6" s="21"/>
      <c r="H6" s="21"/>
    </row>
    <row r="7" spans="1:8" ht="53.25" customHeight="1" x14ac:dyDescent="0.25">
      <c r="A7" s="17">
        <v>2</v>
      </c>
      <c r="B7" s="18" t="s">
        <v>73</v>
      </c>
      <c r="C7" s="18" t="s">
        <v>75</v>
      </c>
      <c r="D7" s="19">
        <v>45419</v>
      </c>
      <c r="E7" s="20">
        <v>0</v>
      </c>
      <c r="F7" s="19">
        <f>D7</f>
        <v>45419</v>
      </c>
      <c r="G7" s="22"/>
      <c r="H7" s="21"/>
    </row>
    <row r="8" spans="1:8" ht="54.75" customHeight="1" x14ac:dyDescent="0.25">
      <c r="A8" s="17">
        <v>3</v>
      </c>
      <c r="B8" s="18" t="s">
        <v>73</v>
      </c>
      <c r="C8" s="18" t="s">
        <v>76</v>
      </c>
      <c r="D8" s="19">
        <v>45420</v>
      </c>
      <c r="E8" s="20">
        <v>0</v>
      </c>
      <c r="F8" s="19">
        <f>D8</f>
        <v>45420</v>
      </c>
      <c r="G8" s="22"/>
      <c r="H8" s="21"/>
    </row>
    <row r="9" spans="1:8" ht="59.25" customHeight="1" x14ac:dyDescent="0.25">
      <c r="A9" s="17">
        <v>4</v>
      </c>
      <c r="B9" s="18" t="s">
        <v>77</v>
      </c>
      <c r="C9" s="18" t="s">
        <v>78</v>
      </c>
      <c r="D9" s="19">
        <v>45421</v>
      </c>
      <c r="E9" s="20">
        <v>0</v>
      </c>
      <c r="F9" s="19">
        <f>D9</f>
        <v>45421</v>
      </c>
      <c r="G9" s="22"/>
      <c r="H9" s="21"/>
    </row>
    <row r="10" spans="1:8" ht="44.25" customHeight="1" x14ac:dyDescent="0.25">
      <c r="A10" s="23">
        <v>5</v>
      </c>
      <c r="B10" s="24" t="s">
        <v>67</v>
      </c>
      <c r="C10" s="18" t="s">
        <v>79</v>
      </c>
      <c r="D10" s="19">
        <v>45422</v>
      </c>
      <c r="E10" s="25">
        <v>0</v>
      </c>
      <c r="F10" s="19">
        <f>D10</f>
        <v>45422</v>
      </c>
      <c r="G10" s="26"/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ABB4-7E7C-4CCB-9902-57464CF892AF}">
  <dimension ref="A1:H10"/>
  <sheetViews>
    <sheetView view="pageBreakPreview" zoomScale="60" zoomScaleNormal="100" workbookViewId="0">
      <selection activeCell="B9" sqref="B9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7" max="7" width="14.140625" bestFit="1" customWidth="1"/>
    <col min="8" max="8" width="13.28515625" customWidth="1"/>
  </cols>
  <sheetData>
    <row r="1" spans="1:8" x14ac:dyDescent="0.25">
      <c r="A1" s="32" t="s">
        <v>59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80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71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68</v>
      </c>
      <c r="C6" s="18" t="s">
        <v>38</v>
      </c>
      <c r="D6" s="19">
        <v>45404</v>
      </c>
      <c r="E6" s="20">
        <v>1</v>
      </c>
      <c r="F6" s="19">
        <f>D6</f>
        <v>45404</v>
      </c>
      <c r="G6" s="21"/>
      <c r="H6" s="21"/>
    </row>
    <row r="7" spans="1:8" ht="53.25" customHeight="1" x14ac:dyDescent="0.25">
      <c r="A7" s="17">
        <v>2</v>
      </c>
      <c r="B7" s="18" t="s">
        <v>68</v>
      </c>
      <c r="C7" s="18" t="s">
        <v>39</v>
      </c>
      <c r="D7" s="19">
        <v>45405</v>
      </c>
      <c r="E7" s="20">
        <v>1</v>
      </c>
      <c r="F7" s="19">
        <f>D7</f>
        <v>45405</v>
      </c>
      <c r="G7" s="21" t="s">
        <v>81</v>
      </c>
      <c r="H7" s="21"/>
    </row>
    <row r="8" spans="1:8" ht="54.75" customHeight="1" x14ac:dyDescent="0.25">
      <c r="A8" s="17">
        <v>3</v>
      </c>
      <c r="B8" s="18" t="s">
        <v>61</v>
      </c>
      <c r="C8" s="18" t="s">
        <v>38</v>
      </c>
      <c r="D8" s="19">
        <v>45406</v>
      </c>
      <c r="E8" s="20">
        <v>0.5</v>
      </c>
      <c r="F8" s="19">
        <f>D8</f>
        <v>45406</v>
      </c>
      <c r="G8" s="22"/>
      <c r="H8" s="21"/>
    </row>
    <row r="9" spans="1:8" ht="59.25" customHeight="1" x14ac:dyDescent="0.25">
      <c r="A9" s="17">
        <v>4</v>
      </c>
      <c r="B9" s="18" t="s">
        <v>69</v>
      </c>
      <c r="C9" s="18" t="s">
        <v>70</v>
      </c>
      <c r="D9" s="19">
        <v>45407</v>
      </c>
      <c r="E9" s="20">
        <v>1</v>
      </c>
      <c r="F9" s="19">
        <f>D9</f>
        <v>45407</v>
      </c>
      <c r="G9" s="22"/>
      <c r="H9" s="21"/>
    </row>
    <row r="10" spans="1:8" ht="44.25" customHeight="1" x14ac:dyDescent="0.25">
      <c r="A10" s="23">
        <v>5</v>
      </c>
      <c r="B10" s="24" t="s">
        <v>67</v>
      </c>
      <c r="C10" s="18" t="s">
        <v>56</v>
      </c>
      <c r="D10" s="19">
        <v>45408</v>
      </c>
      <c r="E10" s="25">
        <v>0</v>
      </c>
      <c r="F10" s="19">
        <f>D10</f>
        <v>45408</v>
      </c>
      <c r="G10" s="26" t="s">
        <v>82</v>
      </c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C48B-5BC5-41DD-AAE9-816B4A3579ED}">
  <dimension ref="A1:H10"/>
  <sheetViews>
    <sheetView view="pageBreakPreview" zoomScale="60" zoomScaleNormal="100" workbookViewId="0">
      <selection sqref="A1:H1"/>
    </sheetView>
  </sheetViews>
  <sheetFormatPr baseColWidth="10" defaultRowHeight="15" x14ac:dyDescent="0.25"/>
  <cols>
    <col min="1" max="1" width="11.28515625" customWidth="1"/>
    <col min="2" max="2" width="27.5703125" bestFit="1" customWidth="1"/>
    <col min="3" max="3" width="29.28515625" customWidth="1"/>
    <col min="4" max="4" width="13.7109375" bestFit="1" customWidth="1"/>
    <col min="5" max="5" width="17.28515625" bestFit="1" customWidth="1"/>
    <col min="7" max="7" width="14.140625" bestFit="1" customWidth="1"/>
    <col min="8" max="8" width="13.28515625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9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71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7">
        <v>1</v>
      </c>
      <c r="B6" s="18" t="s">
        <v>68</v>
      </c>
      <c r="C6" s="18" t="s">
        <v>38</v>
      </c>
      <c r="D6" s="19">
        <v>45404</v>
      </c>
      <c r="E6" s="20">
        <v>0</v>
      </c>
      <c r="F6" s="19">
        <f>D6</f>
        <v>45404</v>
      </c>
      <c r="G6" s="21"/>
      <c r="H6" s="21"/>
    </row>
    <row r="7" spans="1:8" ht="53.25" customHeight="1" x14ac:dyDescent="0.25">
      <c r="A7" s="17">
        <v>2</v>
      </c>
      <c r="B7" s="18" t="s">
        <v>68</v>
      </c>
      <c r="C7" s="18" t="s">
        <v>39</v>
      </c>
      <c r="D7" s="19">
        <v>45405</v>
      </c>
      <c r="E7" s="20">
        <v>0</v>
      </c>
      <c r="F7" s="19">
        <f>D7</f>
        <v>45405</v>
      </c>
      <c r="G7" s="22"/>
      <c r="H7" s="21"/>
    </row>
    <row r="8" spans="1:8" ht="54.75" customHeight="1" x14ac:dyDescent="0.25">
      <c r="A8" s="17">
        <v>3</v>
      </c>
      <c r="B8" s="18" t="s">
        <v>61</v>
      </c>
      <c r="C8" s="18" t="s">
        <v>38</v>
      </c>
      <c r="D8" s="19">
        <v>45406</v>
      </c>
      <c r="E8" s="20">
        <v>0</v>
      </c>
      <c r="F8" s="19">
        <f>D8</f>
        <v>45406</v>
      </c>
      <c r="G8" s="22"/>
      <c r="H8" s="21"/>
    </row>
    <row r="9" spans="1:8" ht="59.25" customHeight="1" x14ac:dyDescent="0.25">
      <c r="A9" s="17">
        <v>4</v>
      </c>
      <c r="B9" s="18" t="s">
        <v>69</v>
      </c>
      <c r="C9" s="18" t="s">
        <v>70</v>
      </c>
      <c r="D9" s="19">
        <v>45407</v>
      </c>
      <c r="E9" s="20">
        <v>0</v>
      </c>
      <c r="F9" s="19">
        <f>D9</f>
        <v>45407</v>
      </c>
      <c r="G9" s="22"/>
      <c r="H9" s="21"/>
    </row>
    <row r="10" spans="1:8" ht="44.25" customHeight="1" x14ac:dyDescent="0.25">
      <c r="A10" s="23">
        <v>5</v>
      </c>
      <c r="B10" s="24" t="s">
        <v>67</v>
      </c>
      <c r="C10" s="18" t="s">
        <v>56</v>
      </c>
      <c r="D10" s="19">
        <v>45408</v>
      </c>
      <c r="E10" s="25">
        <v>0</v>
      </c>
      <c r="F10" s="19">
        <f>D10</f>
        <v>45408</v>
      </c>
      <c r="G10" s="26"/>
      <c r="H10" s="21"/>
    </row>
  </sheetData>
  <mergeCells count="1">
    <mergeCell ref="A1:H1"/>
  </mergeCells>
  <pageMargins left="0.7" right="0.7" top="0.75" bottom="0.75" header="0.3" footer="0.3"/>
  <pageSetup paperSize="9" scale="92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3C8A-BA52-4578-86E0-113E68384951}">
  <dimension ref="A1:H10"/>
  <sheetViews>
    <sheetView view="pageBreakPreview" zoomScale="60" zoomScaleNormal="100" workbookViewId="0">
      <selection activeCell="B10" sqref="B10"/>
    </sheetView>
  </sheetViews>
  <sheetFormatPr baseColWidth="10" defaultRowHeight="15" x14ac:dyDescent="0.25"/>
  <cols>
    <col min="1" max="1" width="8.28515625" customWidth="1"/>
    <col min="2" max="2" width="21.7109375" customWidth="1"/>
    <col min="3" max="3" width="29.28515625" customWidth="1"/>
    <col min="4" max="4" width="13.7109375" bestFit="1" customWidth="1"/>
    <col min="5" max="5" width="17.28515625" bestFit="1" customWidth="1"/>
    <col min="7" max="7" width="14.140625" bestFit="1" customWidth="1"/>
    <col min="8" max="8" width="17.140625" customWidth="1"/>
  </cols>
  <sheetData>
    <row r="1" spans="1:8" x14ac:dyDescent="0.25">
      <c r="A1" s="32" t="s">
        <v>59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9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63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1">
        <v>1</v>
      </c>
      <c r="B6" s="7" t="s">
        <v>55</v>
      </c>
      <c r="C6" s="7" t="s">
        <v>38</v>
      </c>
      <c r="D6" s="6">
        <v>45404</v>
      </c>
      <c r="E6" s="13">
        <v>1</v>
      </c>
      <c r="F6" s="6">
        <f>D6</f>
        <v>45404</v>
      </c>
      <c r="G6" s="14"/>
      <c r="H6" s="14" t="s">
        <v>62</v>
      </c>
    </row>
    <row r="7" spans="1:8" ht="53.25" customHeight="1" x14ac:dyDescent="0.25">
      <c r="A7" s="11">
        <v>2</v>
      </c>
      <c r="B7" s="7" t="s">
        <v>61</v>
      </c>
      <c r="C7" s="7" t="s">
        <v>39</v>
      </c>
      <c r="D7" s="6">
        <v>45405</v>
      </c>
      <c r="E7" s="13">
        <v>0.5</v>
      </c>
      <c r="F7" s="6">
        <f>D7</f>
        <v>45405</v>
      </c>
      <c r="G7" s="5"/>
      <c r="H7" s="14" t="s">
        <v>62</v>
      </c>
    </row>
    <row r="8" spans="1:8" ht="54.75" customHeight="1" x14ac:dyDescent="0.25">
      <c r="A8" s="11">
        <v>3</v>
      </c>
      <c r="B8" s="7" t="s">
        <v>65</v>
      </c>
      <c r="C8" s="7" t="s">
        <v>38</v>
      </c>
      <c r="D8" s="6">
        <v>45406</v>
      </c>
      <c r="E8" s="13">
        <v>1</v>
      </c>
      <c r="F8" s="6">
        <f>D8</f>
        <v>45406</v>
      </c>
      <c r="G8" s="5"/>
      <c r="H8" s="14"/>
    </row>
    <row r="9" spans="1:8" ht="59.25" customHeight="1" x14ac:dyDescent="0.25">
      <c r="A9" s="11">
        <v>4</v>
      </c>
      <c r="B9" s="7" t="s">
        <v>66</v>
      </c>
      <c r="C9" s="7" t="s">
        <v>39</v>
      </c>
      <c r="D9" s="6">
        <v>45407</v>
      </c>
      <c r="E9" s="13">
        <v>1</v>
      </c>
      <c r="F9" s="6">
        <f>D9</f>
        <v>45407</v>
      </c>
      <c r="G9" s="5"/>
      <c r="H9" s="14"/>
    </row>
    <row r="10" spans="1:8" ht="67.5" customHeight="1" x14ac:dyDescent="0.25">
      <c r="A10" s="12">
        <v>5</v>
      </c>
      <c r="B10" s="10" t="s">
        <v>67</v>
      </c>
      <c r="C10" s="7" t="s">
        <v>56</v>
      </c>
      <c r="D10" s="6">
        <v>45408</v>
      </c>
      <c r="E10" s="16">
        <v>1</v>
      </c>
      <c r="F10" s="6">
        <f>D10</f>
        <v>45408</v>
      </c>
      <c r="G10" s="8"/>
      <c r="H10" s="14"/>
    </row>
  </sheetData>
  <mergeCells count="1">
    <mergeCell ref="A1:H1"/>
  </mergeCells>
  <pageMargins left="0.7" right="0.7" top="0.75" bottom="0.75" header="0.3" footer="0.3"/>
  <pageSetup paperSize="9" scale="9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1B49-1684-4FD4-B707-0D7C9C27AE9C}">
  <dimension ref="A1:H10"/>
  <sheetViews>
    <sheetView view="pageBreakPreview" zoomScale="60" zoomScaleNormal="100" workbookViewId="0">
      <selection activeCell="C20" sqref="C20"/>
    </sheetView>
  </sheetViews>
  <sheetFormatPr baseColWidth="10" defaultRowHeight="15" x14ac:dyDescent="0.25"/>
  <cols>
    <col min="1" max="1" width="8.28515625" customWidth="1"/>
    <col min="2" max="2" width="21.7109375" customWidth="1"/>
    <col min="3" max="3" width="29.28515625" customWidth="1"/>
    <col min="4" max="4" width="13.7109375" bestFit="1" customWidth="1"/>
    <col min="5" max="5" width="17.28515625" bestFit="1" customWidth="1"/>
    <col min="7" max="7" width="14.140625" bestFit="1" customWidth="1"/>
    <col min="8" max="8" width="17.140625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9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63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57.75" customHeight="1" x14ac:dyDescent="0.25">
      <c r="A6" s="11">
        <v>1</v>
      </c>
      <c r="B6" s="7" t="s">
        <v>55</v>
      </c>
      <c r="C6" s="7" t="s">
        <v>38</v>
      </c>
      <c r="D6" s="6">
        <v>45404</v>
      </c>
      <c r="E6" s="13">
        <v>0</v>
      </c>
      <c r="F6" s="6">
        <f>D6</f>
        <v>45404</v>
      </c>
      <c r="G6" s="14"/>
      <c r="H6" s="14" t="s">
        <v>62</v>
      </c>
    </row>
    <row r="7" spans="1:8" ht="53.25" customHeight="1" x14ac:dyDescent="0.25">
      <c r="A7" s="11">
        <v>2</v>
      </c>
      <c r="B7" s="7" t="s">
        <v>61</v>
      </c>
      <c r="C7" s="7" t="s">
        <v>39</v>
      </c>
      <c r="D7" s="6">
        <v>45405</v>
      </c>
      <c r="E7" s="13">
        <v>0</v>
      </c>
      <c r="F7" s="6">
        <f>D7</f>
        <v>45405</v>
      </c>
      <c r="G7" s="5"/>
      <c r="H7" s="14" t="s">
        <v>62</v>
      </c>
    </row>
    <row r="8" spans="1:8" ht="54.75" customHeight="1" x14ac:dyDescent="0.25">
      <c r="A8" s="11">
        <v>3</v>
      </c>
      <c r="B8" s="7" t="s">
        <v>65</v>
      </c>
      <c r="C8" s="7" t="s">
        <v>38</v>
      </c>
      <c r="D8" s="6">
        <v>45406</v>
      </c>
      <c r="E8" s="13">
        <v>0</v>
      </c>
      <c r="F8" s="6">
        <f>D8</f>
        <v>45406</v>
      </c>
      <c r="G8" s="5"/>
      <c r="H8" s="14" t="s">
        <v>62</v>
      </c>
    </row>
    <row r="9" spans="1:8" ht="59.25" customHeight="1" x14ac:dyDescent="0.25">
      <c r="A9" s="11">
        <v>4</v>
      </c>
      <c r="B9" s="7" t="s">
        <v>66</v>
      </c>
      <c r="C9" s="7" t="s">
        <v>39</v>
      </c>
      <c r="D9" s="6">
        <v>45407</v>
      </c>
      <c r="E9" s="13">
        <v>0</v>
      </c>
      <c r="F9" s="6">
        <f>D9</f>
        <v>45407</v>
      </c>
      <c r="G9" s="5"/>
      <c r="H9" s="14" t="s">
        <v>62</v>
      </c>
    </row>
    <row r="10" spans="1:8" ht="51" customHeight="1" x14ac:dyDescent="0.25">
      <c r="A10" s="12">
        <v>5</v>
      </c>
      <c r="B10" s="10" t="s">
        <v>67</v>
      </c>
      <c r="C10" s="7" t="s">
        <v>56</v>
      </c>
      <c r="D10" s="6">
        <v>45408</v>
      </c>
      <c r="E10" s="16">
        <v>0</v>
      </c>
      <c r="F10" s="6">
        <f>D10</f>
        <v>45408</v>
      </c>
      <c r="G10" s="8"/>
      <c r="H10" s="14"/>
    </row>
  </sheetData>
  <mergeCells count="1">
    <mergeCell ref="A1:H1"/>
  </mergeCells>
  <pageMargins left="0.7" right="0.7" top="0.75" bottom="0.75" header="0.3" footer="0.3"/>
  <pageSetup paperSize="9" scale="98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18C2-A3B4-4875-B3E1-D07882231443}">
  <dimension ref="A1:H10"/>
  <sheetViews>
    <sheetView view="pageBreakPreview" zoomScale="60" zoomScaleNormal="100" workbookViewId="0">
      <selection activeCell="B9" sqref="B9"/>
    </sheetView>
  </sheetViews>
  <sheetFormatPr baseColWidth="10" defaultRowHeight="15" x14ac:dyDescent="0.25"/>
  <cols>
    <col min="1" max="1" width="8.28515625" customWidth="1"/>
    <col min="2" max="2" width="21.7109375" customWidth="1"/>
    <col min="3" max="3" width="29.28515625" customWidth="1"/>
    <col min="4" max="4" width="13.7109375" bestFit="1" customWidth="1"/>
    <col min="5" max="5" width="17.28515625" bestFit="1" customWidth="1"/>
    <col min="7" max="7" width="14.140625" customWidth="1"/>
    <col min="8" max="8" width="17.140625" customWidth="1"/>
  </cols>
  <sheetData>
    <row r="1" spans="1:8" x14ac:dyDescent="0.25">
      <c r="A1" s="32" t="s">
        <v>59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9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64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45.75" customHeight="1" x14ac:dyDescent="0.25">
      <c r="A6" s="11">
        <v>1</v>
      </c>
      <c r="B6" s="7" t="s">
        <v>57</v>
      </c>
      <c r="C6" s="7" t="s">
        <v>38</v>
      </c>
      <c r="D6" s="6">
        <v>45397</v>
      </c>
      <c r="E6" s="13">
        <v>1</v>
      </c>
      <c r="F6" s="6">
        <f>D6</f>
        <v>45397</v>
      </c>
      <c r="G6" s="14"/>
      <c r="H6" s="14" t="s">
        <v>46</v>
      </c>
    </row>
    <row r="7" spans="1:8" ht="44.25" customHeight="1" x14ac:dyDescent="0.25">
      <c r="A7" s="11">
        <v>2</v>
      </c>
      <c r="B7" s="7" t="s">
        <v>54</v>
      </c>
      <c r="C7" s="7" t="s">
        <v>39</v>
      </c>
      <c r="D7" s="6">
        <v>45398</v>
      </c>
      <c r="E7" s="16">
        <v>1</v>
      </c>
      <c r="F7" s="6">
        <f>D7</f>
        <v>45398</v>
      </c>
      <c r="G7" s="5"/>
      <c r="H7" s="14" t="s">
        <v>46</v>
      </c>
    </row>
    <row r="8" spans="1:8" ht="46.5" customHeight="1" x14ac:dyDescent="0.25">
      <c r="A8" s="11">
        <v>3</v>
      </c>
      <c r="B8" s="7" t="s">
        <v>55</v>
      </c>
      <c r="C8" s="7" t="s">
        <v>38</v>
      </c>
      <c r="D8" s="6">
        <v>45399</v>
      </c>
      <c r="E8" s="16">
        <v>1</v>
      </c>
      <c r="F8" s="6">
        <f>D8</f>
        <v>45399</v>
      </c>
      <c r="G8" s="5"/>
      <c r="H8" s="14" t="s">
        <v>46</v>
      </c>
    </row>
    <row r="9" spans="1:8" ht="48" customHeight="1" x14ac:dyDescent="0.25">
      <c r="A9" s="11">
        <v>4</v>
      </c>
      <c r="B9" s="7" t="s">
        <v>55</v>
      </c>
      <c r="C9" s="7" t="s">
        <v>39</v>
      </c>
      <c r="D9" s="6">
        <v>45400</v>
      </c>
      <c r="E9" s="16">
        <v>0.5</v>
      </c>
      <c r="F9" s="6">
        <f>D9</f>
        <v>45400</v>
      </c>
      <c r="G9" s="5"/>
      <c r="H9" s="14" t="s">
        <v>46</v>
      </c>
    </row>
    <row r="10" spans="1:8" ht="51" customHeight="1" x14ac:dyDescent="0.25">
      <c r="A10" s="12">
        <v>5</v>
      </c>
      <c r="B10" s="10" t="s">
        <v>21</v>
      </c>
      <c r="C10" s="7" t="s">
        <v>56</v>
      </c>
      <c r="D10" s="6">
        <v>45401</v>
      </c>
      <c r="E10" s="16" t="s">
        <v>60</v>
      </c>
      <c r="F10" s="6">
        <f>D10</f>
        <v>45401</v>
      </c>
      <c r="G10" s="8"/>
      <c r="H10" s="14"/>
    </row>
  </sheetData>
  <mergeCells count="1">
    <mergeCell ref="A1:H1"/>
  </mergeCells>
  <pageMargins left="0.7" right="0.7" top="0.75" bottom="0.75" header="0.3" footer="0.3"/>
  <pageSetup paperSize="9" scale="98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42C0-5409-4916-85EA-32DEB39EAB8C}">
  <dimension ref="A1:H10"/>
  <sheetViews>
    <sheetView topLeftCell="A4" workbookViewId="0">
      <selection activeCell="E9" sqref="E9"/>
    </sheetView>
  </sheetViews>
  <sheetFormatPr baseColWidth="10" defaultRowHeight="15" x14ac:dyDescent="0.25"/>
  <cols>
    <col min="1" max="1" width="8.28515625" customWidth="1"/>
    <col min="2" max="2" width="21.7109375" customWidth="1"/>
    <col min="3" max="3" width="29.28515625" customWidth="1"/>
    <col min="4" max="4" width="13.7109375" bestFit="1" customWidth="1"/>
    <col min="5" max="5" width="17.28515625" bestFit="1" customWidth="1"/>
    <col min="7" max="7" width="14.140625" bestFit="1" customWidth="1"/>
    <col min="8" max="8" width="17.140625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9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58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45.75" customHeight="1" x14ac:dyDescent="0.25">
      <c r="A6" s="11">
        <v>1</v>
      </c>
      <c r="B6" s="7" t="s">
        <v>57</v>
      </c>
      <c r="C6" s="7" t="s">
        <v>38</v>
      </c>
      <c r="D6" s="6">
        <v>45394</v>
      </c>
      <c r="E6" s="13">
        <v>0</v>
      </c>
      <c r="F6" s="6">
        <f>D6</f>
        <v>45394</v>
      </c>
      <c r="G6" s="14"/>
      <c r="H6" s="14" t="s">
        <v>46</v>
      </c>
    </row>
    <row r="7" spans="1:8" ht="44.25" customHeight="1" x14ac:dyDescent="0.25">
      <c r="A7" s="11">
        <v>2</v>
      </c>
      <c r="B7" s="7" t="s">
        <v>54</v>
      </c>
      <c r="C7" s="7" t="s">
        <v>39</v>
      </c>
      <c r="D7" s="6">
        <v>45395</v>
      </c>
      <c r="E7" s="5">
        <v>0</v>
      </c>
      <c r="F7" s="6">
        <f>D7</f>
        <v>45395</v>
      </c>
      <c r="G7" s="5"/>
      <c r="H7" s="14" t="s">
        <v>46</v>
      </c>
    </row>
    <row r="8" spans="1:8" ht="46.5" customHeight="1" x14ac:dyDescent="0.25">
      <c r="A8" s="11">
        <v>3</v>
      </c>
      <c r="B8" s="7" t="s">
        <v>55</v>
      </c>
      <c r="C8" s="7" t="s">
        <v>38</v>
      </c>
      <c r="D8" s="6">
        <v>45396</v>
      </c>
      <c r="E8" s="5">
        <v>0</v>
      </c>
      <c r="F8" s="6">
        <f>D8</f>
        <v>45396</v>
      </c>
      <c r="G8" s="5"/>
      <c r="H8" s="14" t="s">
        <v>46</v>
      </c>
    </row>
    <row r="9" spans="1:8" ht="48" customHeight="1" x14ac:dyDescent="0.25">
      <c r="A9" s="11">
        <v>4</v>
      </c>
      <c r="B9" s="7" t="s">
        <v>55</v>
      </c>
      <c r="C9" s="7" t="s">
        <v>39</v>
      </c>
      <c r="D9" s="6">
        <v>45397</v>
      </c>
      <c r="E9" s="5">
        <v>0</v>
      </c>
      <c r="F9" s="6">
        <f>D9</f>
        <v>45397</v>
      </c>
      <c r="G9" s="5"/>
      <c r="H9" s="14" t="s">
        <v>46</v>
      </c>
    </row>
    <row r="10" spans="1:8" ht="51" customHeight="1" x14ac:dyDescent="0.25">
      <c r="A10" s="12">
        <v>5</v>
      </c>
      <c r="B10" s="10" t="s">
        <v>21</v>
      </c>
      <c r="C10" s="7" t="s">
        <v>56</v>
      </c>
      <c r="D10" s="6">
        <v>45398</v>
      </c>
      <c r="E10" s="5">
        <v>0</v>
      </c>
      <c r="F10" s="6">
        <f>D10</f>
        <v>45398</v>
      </c>
      <c r="G10" s="8"/>
      <c r="H10" s="14"/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B12F-BC6D-4379-856E-C3E213EFCDEA}">
  <dimension ref="A1:H10"/>
  <sheetViews>
    <sheetView topLeftCell="A4" zoomScale="68" zoomScaleNormal="68" workbookViewId="0">
      <selection activeCell="C10" sqref="C10"/>
    </sheetView>
  </sheetViews>
  <sheetFormatPr baseColWidth="10" defaultRowHeight="15" x14ac:dyDescent="0.25"/>
  <cols>
    <col min="2" max="2" width="21.7109375" customWidth="1"/>
    <col min="3" max="3" width="29.28515625" customWidth="1"/>
    <col min="4" max="4" width="13.7109375" bestFit="1" customWidth="1"/>
    <col min="5" max="5" width="17.28515625" bestFit="1" customWidth="1"/>
    <col min="7" max="7" width="14.140625" bestFit="1" customWidth="1"/>
  </cols>
  <sheetData>
    <row r="1" spans="1:8" x14ac:dyDescent="0.25">
      <c r="A1" s="32" t="s">
        <v>59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9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37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82.5" customHeight="1" x14ac:dyDescent="0.25">
      <c r="A6" s="11">
        <v>1</v>
      </c>
      <c r="B6" s="7" t="s">
        <v>40</v>
      </c>
      <c r="C6" s="7" t="s">
        <v>38</v>
      </c>
      <c r="D6" s="6">
        <v>45390</v>
      </c>
      <c r="E6" s="13">
        <v>0.5</v>
      </c>
      <c r="F6" s="6">
        <f>D6</f>
        <v>45390</v>
      </c>
      <c r="G6" s="14" t="s">
        <v>45</v>
      </c>
      <c r="H6" s="14" t="s">
        <v>46</v>
      </c>
    </row>
    <row r="7" spans="1:8" ht="69.75" customHeight="1" x14ac:dyDescent="0.25">
      <c r="A7" s="11">
        <v>2</v>
      </c>
      <c r="B7" s="7" t="s">
        <v>47</v>
      </c>
      <c r="C7" s="7" t="s">
        <v>51</v>
      </c>
      <c r="D7" s="6">
        <v>45391</v>
      </c>
      <c r="E7" s="13">
        <v>0.5</v>
      </c>
      <c r="F7" s="6">
        <f>D7</f>
        <v>45391</v>
      </c>
      <c r="G7" s="5"/>
      <c r="H7" s="5"/>
    </row>
    <row r="8" spans="1:8" ht="65.25" customHeight="1" x14ac:dyDescent="0.25">
      <c r="A8" s="11">
        <v>3</v>
      </c>
      <c r="B8" s="7" t="s">
        <v>49</v>
      </c>
      <c r="C8" s="7" t="s">
        <v>50</v>
      </c>
      <c r="D8" s="6">
        <v>45392</v>
      </c>
      <c r="E8" s="13">
        <v>0.5</v>
      </c>
      <c r="F8" s="6">
        <f>D8</f>
        <v>45392</v>
      </c>
      <c r="G8" s="5"/>
      <c r="H8" s="5"/>
    </row>
    <row r="9" spans="1:8" ht="66" customHeight="1" x14ac:dyDescent="0.25">
      <c r="A9" s="11">
        <v>4</v>
      </c>
      <c r="B9" s="7" t="s">
        <v>48</v>
      </c>
      <c r="C9" s="7" t="s">
        <v>52</v>
      </c>
      <c r="D9" s="6">
        <v>45393</v>
      </c>
      <c r="E9" s="13">
        <v>0.5</v>
      </c>
      <c r="F9" s="6">
        <f>D9</f>
        <v>45393</v>
      </c>
      <c r="G9" s="5"/>
      <c r="H9" s="5"/>
    </row>
    <row r="10" spans="1:8" ht="45" x14ac:dyDescent="0.25">
      <c r="A10" s="12">
        <v>5</v>
      </c>
      <c r="B10" s="10" t="s">
        <v>21</v>
      </c>
      <c r="C10" s="7" t="s">
        <v>53</v>
      </c>
      <c r="D10" s="6">
        <v>45394</v>
      </c>
      <c r="E10" s="13">
        <v>1</v>
      </c>
      <c r="F10" s="6">
        <f>D10</f>
        <v>45394</v>
      </c>
      <c r="G10" s="8"/>
      <c r="H10" s="8"/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9586-A8DA-48A0-82BD-34284040BF1E}">
  <dimension ref="A1:H10"/>
  <sheetViews>
    <sheetView topLeftCell="A6" workbookViewId="0">
      <selection activeCell="H6" sqref="H6"/>
    </sheetView>
  </sheetViews>
  <sheetFormatPr baseColWidth="10" defaultRowHeight="15" x14ac:dyDescent="0.25"/>
  <cols>
    <col min="2" max="2" width="21.7109375" customWidth="1"/>
    <col min="3" max="3" width="29.28515625" customWidth="1"/>
    <col min="4" max="4" width="13.7109375" bestFit="1" customWidth="1"/>
    <col min="5" max="5" width="17.28515625" bestFit="1" customWidth="1"/>
    <col min="7" max="7" width="14.140625" bestFit="1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9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37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82.5" customHeight="1" x14ac:dyDescent="0.25">
      <c r="A6" s="11">
        <v>1</v>
      </c>
      <c r="B6" s="7" t="s">
        <v>40</v>
      </c>
      <c r="C6" s="7" t="s">
        <v>38</v>
      </c>
      <c r="D6" s="6">
        <v>45390</v>
      </c>
      <c r="E6" s="13">
        <v>0.6</v>
      </c>
      <c r="F6" s="6">
        <f>D6</f>
        <v>45390</v>
      </c>
      <c r="G6" s="14" t="s">
        <v>45</v>
      </c>
      <c r="H6" s="14" t="s">
        <v>46</v>
      </c>
    </row>
    <row r="7" spans="1:8" ht="44.25" customHeight="1" x14ac:dyDescent="0.25">
      <c r="A7" s="11">
        <v>2</v>
      </c>
      <c r="B7" s="7" t="s">
        <v>40</v>
      </c>
      <c r="C7" s="7" t="s">
        <v>39</v>
      </c>
      <c r="D7" s="6">
        <v>45391</v>
      </c>
      <c r="E7" s="5">
        <v>0</v>
      </c>
      <c r="F7" s="6">
        <f>D7</f>
        <v>45391</v>
      </c>
      <c r="G7" s="5"/>
      <c r="H7" s="5"/>
    </row>
    <row r="8" spans="1:8" ht="46.5" customHeight="1" x14ac:dyDescent="0.25">
      <c r="A8" s="11">
        <v>3</v>
      </c>
      <c r="B8" s="7" t="s">
        <v>41</v>
      </c>
      <c r="C8" s="7" t="s">
        <v>38</v>
      </c>
      <c r="D8" s="6">
        <v>45392</v>
      </c>
      <c r="E8" s="5">
        <v>0</v>
      </c>
      <c r="F8" s="6">
        <f>D8</f>
        <v>45392</v>
      </c>
      <c r="G8" s="5"/>
      <c r="H8" s="5"/>
    </row>
    <row r="9" spans="1:8" ht="27" x14ac:dyDescent="0.25">
      <c r="A9" s="11">
        <v>4</v>
      </c>
      <c r="B9" s="7" t="s">
        <v>42</v>
      </c>
      <c r="C9" s="7" t="s">
        <v>39</v>
      </c>
      <c r="D9" s="6">
        <v>45393</v>
      </c>
      <c r="E9" s="5">
        <v>0</v>
      </c>
      <c r="F9" s="6">
        <f>D9</f>
        <v>45393</v>
      </c>
      <c r="G9" s="5"/>
      <c r="H9" s="5"/>
    </row>
    <row r="10" spans="1:8" ht="45" x14ac:dyDescent="0.25">
      <c r="A10" s="12">
        <v>5</v>
      </c>
      <c r="B10" s="10" t="s">
        <v>21</v>
      </c>
      <c r="C10" s="7" t="s">
        <v>22</v>
      </c>
      <c r="D10" s="6">
        <v>45394</v>
      </c>
      <c r="E10" s="5">
        <v>0</v>
      </c>
      <c r="F10" s="6">
        <f>D10</f>
        <v>45394</v>
      </c>
      <c r="G10" s="8"/>
      <c r="H10" s="8"/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A415-8E87-4AC1-B9FF-E9A1190E962C}">
  <dimension ref="A1:H9"/>
  <sheetViews>
    <sheetView topLeftCell="A7" workbookViewId="0">
      <selection activeCell="C6" sqref="C6"/>
    </sheetView>
  </sheetViews>
  <sheetFormatPr baseColWidth="10" defaultRowHeight="15" x14ac:dyDescent="0.25"/>
  <cols>
    <col min="2" max="2" width="21.7109375" customWidth="1"/>
    <col min="3" max="3" width="29.28515625" customWidth="1"/>
    <col min="4" max="4" width="13.7109375" bestFit="1" customWidth="1"/>
    <col min="5" max="5" width="17.28515625" bestFit="1" customWidth="1"/>
    <col min="7" max="7" width="14.140625" bestFit="1" customWidth="1"/>
  </cols>
  <sheetData>
    <row r="1" spans="1:8" x14ac:dyDescent="0.25">
      <c r="A1" s="32" t="s">
        <v>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9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t="s">
        <v>18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72" customHeight="1" x14ac:dyDescent="0.25">
      <c r="A6" s="5">
        <v>1</v>
      </c>
      <c r="B6" s="7" t="s">
        <v>11</v>
      </c>
      <c r="C6" s="7" t="s">
        <v>14</v>
      </c>
      <c r="D6" s="6">
        <v>45376</v>
      </c>
      <c r="E6" s="5">
        <v>0</v>
      </c>
      <c r="F6" s="6">
        <v>45376</v>
      </c>
      <c r="G6" s="5"/>
      <c r="H6" s="5"/>
    </row>
    <row r="7" spans="1:8" ht="67.5" x14ac:dyDescent="0.25">
      <c r="A7" s="5">
        <v>2</v>
      </c>
      <c r="B7" s="7" t="s">
        <v>11</v>
      </c>
      <c r="C7" s="7" t="s">
        <v>15</v>
      </c>
      <c r="D7" s="6">
        <v>45377</v>
      </c>
      <c r="E7" s="5">
        <v>0</v>
      </c>
      <c r="F7" s="6">
        <v>45377</v>
      </c>
      <c r="G7" s="5"/>
      <c r="H7" s="5"/>
    </row>
    <row r="8" spans="1:8" ht="94.5" x14ac:dyDescent="0.25">
      <c r="A8" s="5">
        <v>3</v>
      </c>
      <c r="B8" s="7" t="s">
        <v>12</v>
      </c>
      <c r="C8" s="7" t="s">
        <v>13</v>
      </c>
      <c r="D8" s="6">
        <v>45378</v>
      </c>
      <c r="E8" s="5">
        <v>0</v>
      </c>
      <c r="F8" s="6">
        <v>45378</v>
      </c>
      <c r="G8" s="5"/>
      <c r="H8" s="5"/>
    </row>
    <row r="9" spans="1:8" ht="94.5" x14ac:dyDescent="0.25">
      <c r="A9" s="5">
        <v>4</v>
      </c>
      <c r="B9" s="7" t="s">
        <v>12</v>
      </c>
      <c r="C9" s="7" t="s">
        <v>16</v>
      </c>
      <c r="D9" s="6">
        <v>45379</v>
      </c>
      <c r="E9" s="5">
        <v>0</v>
      </c>
      <c r="F9" s="6">
        <v>45379</v>
      </c>
      <c r="G9" s="5"/>
      <c r="H9" s="5"/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E11B-4A51-415B-8FC5-7A940F098E26}">
  <dimension ref="A1:H9"/>
  <sheetViews>
    <sheetView topLeftCell="A7" workbookViewId="0">
      <selection activeCell="C12" sqref="C12"/>
    </sheetView>
  </sheetViews>
  <sheetFormatPr baseColWidth="10" defaultRowHeight="15" x14ac:dyDescent="0.25"/>
  <cols>
    <col min="2" max="2" width="21.7109375" customWidth="1"/>
    <col min="3" max="3" width="29.28515625" customWidth="1"/>
    <col min="4" max="4" width="13.7109375" bestFit="1" customWidth="1"/>
    <col min="5" max="5" width="17.28515625" bestFit="1" customWidth="1"/>
    <col min="7" max="7" width="14.140625" bestFit="1" customWidth="1"/>
  </cols>
  <sheetData>
    <row r="1" spans="1:8" x14ac:dyDescent="0.25">
      <c r="A1" s="32" t="s">
        <v>30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9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t="s">
        <v>18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3" t="s">
        <v>1</v>
      </c>
      <c r="B5" s="3" t="s">
        <v>2</v>
      </c>
      <c r="C5" s="3" t="s">
        <v>17</v>
      </c>
      <c r="D5" s="3" t="s">
        <v>10</v>
      </c>
      <c r="E5" s="3" t="s">
        <v>3</v>
      </c>
      <c r="F5" s="3" t="s">
        <v>4</v>
      </c>
      <c r="G5" s="3" t="s">
        <v>5</v>
      </c>
      <c r="H5" s="3" t="s">
        <v>6</v>
      </c>
    </row>
    <row r="6" spans="1:8" ht="78" customHeight="1" x14ac:dyDescent="0.25">
      <c r="A6" s="5">
        <v>1</v>
      </c>
      <c r="B6" s="7" t="s">
        <v>11</v>
      </c>
      <c r="C6" s="7" t="s">
        <v>14</v>
      </c>
      <c r="D6" s="6">
        <v>45376</v>
      </c>
      <c r="E6" s="13">
        <v>1</v>
      </c>
      <c r="F6" s="6">
        <v>45376</v>
      </c>
      <c r="G6" s="7" t="s">
        <v>32</v>
      </c>
      <c r="H6" s="7" t="s">
        <v>31</v>
      </c>
    </row>
    <row r="7" spans="1:8" ht="81" x14ac:dyDescent="0.25">
      <c r="A7" s="5">
        <v>2</v>
      </c>
      <c r="B7" s="7" t="s">
        <v>11</v>
      </c>
      <c r="C7" s="7" t="s">
        <v>15</v>
      </c>
      <c r="D7" s="6">
        <v>45377</v>
      </c>
      <c r="E7" s="13">
        <v>1</v>
      </c>
      <c r="F7" s="6">
        <v>45377</v>
      </c>
      <c r="G7" s="7" t="s">
        <v>33</v>
      </c>
      <c r="H7" s="7" t="s">
        <v>31</v>
      </c>
    </row>
    <row r="8" spans="1:8" ht="94.5" x14ac:dyDescent="0.25">
      <c r="A8" s="5">
        <v>3</v>
      </c>
      <c r="B8" s="7" t="s">
        <v>12</v>
      </c>
      <c r="C8" s="7" t="s">
        <v>13</v>
      </c>
      <c r="D8" s="6">
        <v>45378</v>
      </c>
      <c r="E8" s="13">
        <v>1</v>
      </c>
      <c r="F8" s="6">
        <v>45378</v>
      </c>
      <c r="G8" s="7" t="s">
        <v>35</v>
      </c>
      <c r="H8" s="7" t="s">
        <v>31</v>
      </c>
    </row>
    <row r="9" spans="1:8" ht="94.5" x14ac:dyDescent="0.25">
      <c r="A9" s="5">
        <v>4</v>
      </c>
      <c r="B9" s="7" t="s">
        <v>12</v>
      </c>
      <c r="C9" s="7" t="s">
        <v>16</v>
      </c>
      <c r="D9" s="6">
        <v>45379</v>
      </c>
      <c r="E9" s="13">
        <v>1</v>
      </c>
      <c r="F9" s="6">
        <v>45379</v>
      </c>
      <c r="G9" s="7" t="s">
        <v>34</v>
      </c>
      <c r="H9" s="7" t="s">
        <v>31</v>
      </c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C592-C84E-47C5-BA9B-5B37C2EF9EC2}">
  <dimension ref="A1:H10"/>
  <sheetViews>
    <sheetView topLeftCell="A4" zoomScale="91" zoomScaleNormal="91" workbookViewId="0">
      <selection activeCell="E5" sqref="E5"/>
    </sheetView>
  </sheetViews>
  <sheetFormatPr baseColWidth="10" defaultRowHeight="15" x14ac:dyDescent="0.25"/>
  <cols>
    <col min="1" max="1" width="7" customWidth="1"/>
    <col min="2" max="2" width="21.7109375" customWidth="1"/>
    <col min="3" max="3" width="29.28515625" customWidth="1"/>
    <col min="4" max="4" width="13.7109375" bestFit="1" customWidth="1"/>
    <col min="5" max="5" width="15.85546875" customWidth="1"/>
    <col min="7" max="7" width="20.7109375" customWidth="1"/>
  </cols>
  <sheetData>
    <row r="1" spans="1:8" x14ac:dyDescent="0.25">
      <c r="A1" s="32" t="s">
        <v>30</v>
      </c>
      <c r="B1" s="32"/>
      <c r="C1" s="32"/>
      <c r="D1" s="32"/>
      <c r="E1" s="32"/>
      <c r="F1" s="32"/>
      <c r="G1" s="32"/>
      <c r="H1" s="32"/>
    </row>
    <row r="2" spans="1:8" x14ac:dyDescent="0.25">
      <c r="A2" s="4" t="s">
        <v>7</v>
      </c>
      <c r="B2" s="1" t="s">
        <v>9</v>
      </c>
      <c r="C2" s="1"/>
      <c r="D2" s="2"/>
      <c r="E2" s="2"/>
      <c r="F2" s="2"/>
      <c r="G2" s="2"/>
      <c r="H2" s="2"/>
    </row>
    <row r="3" spans="1:8" x14ac:dyDescent="0.25">
      <c r="A3" s="4" t="s">
        <v>8</v>
      </c>
      <c r="B3" s="1" t="s">
        <v>27</v>
      </c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ht="30" x14ac:dyDescent="0.25">
      <c r="A5" s="3" t="s">
        <v>1</v>
      </c>
      <c r="B5" s="3" t="s">
        <v>2</v>
      </c>
      <c r="C5" s="3" t="s">
        <v>17</v>
      </c>
      <c r="D5" s="3" t="s">
        <v>10</v>
      </c>
      <c r="E5" s="15" t="s">
        <v>3</v>
      </c>
      <c r="F5" s="3" t="s">
        <v>4</v>
      </c>
      <c r="G5" s="3" t="s">
        <v>5</v>
      </c>
      <c r="H5" s="3" t="s">
        <v>6</v>
      </c>
    </row>
    <row r="6" spans="1:8" ht="86.25" customHeight="1" x14ac:dyDescent="0.25">
      <c r="A6" s="11">
        <v>1</v>
      </c>
      <c r="B6" s="7" t="s">
        <v>19</v>
      </c>
      <c r="C6" s="7" t="s">
        <v>28</v>
      </c>
      <c r="D6" s="6">
        <v>45383</v>
      </c>
      <c r="E6" s="13">
        <v>1</v>
      </c>
      <c r="F6" s="6">
        <v>45383</v>
      </c>
      <c r="G6" s="14" t="s">
        <v>36</v>
      </c>
      <c r="H6" s="5"/>
    </row>
    <row r="7" spans="1:8" ht="44.25" customHeight="1" x14ac:dyDescent="0.25">
      <c r="A7" s="11">
        <v>2</v>
      </c>
      <c r="B7" s="7" t="s">
        <v>29</v>
      </c>
      <c r="C7" s="9" t="s">
        <v>23</v>
      </c>
      <c r="D7" s="6">
        <v>45384</v>
      </c>
      <c r="E7" s="13">
        <v>1</v>
      </c>
      <c r="F7" s="6">
        <v>45384</v>
      </c>
      <c r="G7" s="14" t="s">
        <v>43</v>
      </c>
      <c r="H7" s="5"/>
    </row>
    <row r="8" spans="1:8" ht="46.5" customHeight="1" x14ac:dyDescent="0.25">
      <c r="A8" s="11">
        <v>3</v>
      </c>
      <c r="B8" s="7" t="s">
        <v>26</v>
      </c>
      <c r="C8" s="10" t="s">
        <v>25</v>
      </c>
      <c r="D8" s="6">
        <v>45385</v>
      </c>
      <c r="E8" s="13">
        <v>1</v>
      </c>
      <c r="F8" s="6">
        <v>45385</v>
      </c>
      <c r="G8" s="14" t="s">
        <v>43</v>
      </c>
      <c r="H8" s="5"/>
    </row>
    <row r="9" spans="1:8" ht="40.5" x14ac:dyDescent="0.25">
      <c r="A9" s="11">
        <v>4</v>
      </c>
      <c r="B9" s="7" t="s">
        <v>20</v>
      </c>
      <c r="C9" s="7" t="s">
        <v>24</v>
      </c>
      <c r="D9" s="6">
        <v>45386</v>
      </c>
      <c r="E9" s="13">
        <v>1</v>
      </c>
      <c r="F9" s="6">
        <v>45386</v>
      </c>
      <c r="G9" s="14" t="s">
        <v>44</v>
      </c>
      <c r="H9" s="5"/>
    </row>
    <row r="10" spans="1:8" ht="45" x14ac:dyDescent="0.25">
      <c r="A10" s="12">
        <v>5</v>
      </c>
      <c r="B10" s="10" t="s">
        <v>21</v>
      </c>
      <c r="C10" s="10" t="s">
        <v>22</v>
      </c>
      <c r="D10" s="6">
        <v>45387</v>
      </c>
      <c r="E10" s="13">
        <v>1</v>
      </c>
      <c r="F10" s="6">
        <v>45387</v>
      </c>
      <c r="G10" s="5"/>
      <c r="H10" s="8"/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12</vt:i4>
      </vt:variant>
    </vt:vector>
  </HeadingPairs>
  <TitlesOfParts>
    <vt:vector size="40" baseType="lpstr">
      <vt:lpstr>Semana 1-5 Abril (3)</vt:lpstr>
      <vt:lpstr>Informe 26-30 Agosto</vt:lpstr>
      <vt:lpstr>Informe 19-23 Agosto</vt:lpstr>
      <vt:lpstr>Informe 12-16 Agosto</vt:lpstr>
      <vt:lpstr>Informe 03-05 Julio (2)</vt:lpstr>
      <vt:lpstr>Semana 03-05 Julio</vt:lpstr>
      <vt:lpstr>Semana 10-14 Junio</vt:lpstr>
      <vt:lpstr>Informe 03-07 Junio </vt:lpstr>
      <vt:lpstr>Semana 03-07 Junio</vt:lpstr>
      <vt:lpstr>InformeSemana 27-31 </vt:lpstr>
      <vt:lpstr>Semana 27-31 Mayo</vt:lpstr>
      <vt:lpstr>Informe Semana 20-24 Mayo  (2)</vt:lpstr>
      <vt:lpstr>Semana 20-24 Mayo </vt:lpstr>
      <vt:lpstr>Informe Semana 13-17 Mayo (2)</vt:lpstr>
      <vt:lpstr>Semana 13-17 Mayo</vt:lpstr>
      <vt:lpstr>Informe Semana 6-10 Mayo</vt:lpstr>
      <vt:lpstr>Semana 6-10 Mayo</vt:lpstr>
      <vt:lpstr>Informe 29 Abril-3 Mayo</vt:lpstr>
      <vt:lpstr>Semana 29 Abril-3 Mayo</vt:lpstr>
      <vt:lpstr>Informe Semana 22-26 Abril </vt:lpstr>
      <vt:lpstr>Semana 22-26 Abril </vt:lpstr>
      <vt:lpstr>Informe Semana 15-19 Abril</vt:lpstr>
      <vt:lpstr>Semana 15-19 Abril</vt:lpstr>
      <vt:lpstr>Informe Semana 8-12 Abril (2)</vt:lpstr>
      <vt:lpstr>Semana 8-12 Abril</vt:lpstr>
      <vt:lpstr>Semana 25-28 Marzo</vt:lpstr>
      <vt:lpstr>InformeSemana 25-28 Marzo</vt:lpstr>
      <vt:lpstr>InformeActSemana 1-5 Abril</vt:lpstr>
      <vt:lpstr>'Informe 03-05 Julio (2)'!Área_de_impresión</vt:lpstr>
      <vt:lpstr>'Informe 03-07 Junio '!Área_de_impresión</vt:lpstr>
      <vt:lpstr>'Informe 12-16 Agosto'!Área_de_impresión</vt:lpstr>
      <vt:lpstr>'Informe 19-23 Agosto'!Área_de_impresión</vt:lpstr>
      <vt:lpstr>'Informe 26-30 Agosto'!Área_de_impresión</vt:lpstr>
      <vt:lpstr>'Informe Semana 20-24 Mayo  (2)'!Área_de_impresión</vt:lpstr>
      <vt:lpstr>'InformeSemana 27-31 '!Área_de_impresión</vt:lpstr>
      <vt:lpstr>'Semana 03-05 Julio'!Área_de_impresión</vt:lpstr>
      <vt:lpstr>'Semana 03-07 Junio'!Área_de_impresión</vt:lpstr>
      <vt:lpstr>'Semana 10-14 Junio'!Área_de_impresión</vt:lpstr>
      <vt:lpstr>'Semana 20-24 Mayo '!Área_de_impresión</vt:lpstr>
      <vt:lpstr>'Semana 27-31 Mayo'!Área_de_impresión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Elizabeth Arcos Pilaluisa</dc:creator>
  <cp:lastModifiedBy>Norma Elizabeth Arcos Pilaluisa</cp:lastModifiedBy>
  <cp:lastPrinted>2024-05-31T14:15:58Z</cp:lastPrinted>
  <dcterms:created xsi:type="dcterms:W3CDTF">2024-03-20T20:51:48Z</dcterms:created>
  <dcterms:modified xsi:type="dcterms:W3CDTF">2024-09-06T00:14:39Z</dcterms:modified>
</cp:coreProperties>
</file>